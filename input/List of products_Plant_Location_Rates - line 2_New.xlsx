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myoffice.accenture.com/personal/anup_upasani_accenture_com/Documents/Documents/2026/Mondelez/SV/Solver input data validation/Scrubbed/scrubbed_data_V6/scrubbed_data_6/"/>
    </mc:Choice>
  </mc:AlternateContent>
  <xr:revisionPtr revIDLastSave="20" documentId="8_{B68C0993-31C7-4374-8953-13E6E85E9EF8}" xr6:coauthVersionLast="47" xr6:coauthVersionMax="47" xr10:uidLastSave="{A57CC218-44FF-428F-BB20-381588FACC01}"/>
  <bookViews>
    <workbookView xWindow="-120" yWindow="-120" windowWidth="29040" windowHeight="15720" xr2:uid="{CDF061CF-179D-44FF-97A3-8BC0CFAE0FCD}"/>
  </bookViews>
  <sheets>
    <sheet name="Inf L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</externalReferences>
  <definedNames>
    <definedName name="\A">#REF!</definedName>
    <definedName name="\B">#REF!</definedName>
    <definedName name="\C">#REF!</definedName>
    <definedName name="____________r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______d1" hidden="1">{"test","Core Scenario",FALSE,"Cash Flow Analysis"}</definedName>
    <definedName name="___________e1" hidden="1">{"test","Core Scenario",FALSE,"Cash Flow Analysis"}</definedName>
    <definedName name="___________Jim1" hidden="1">{#N/A,#N/A,FALSE,"L&amp;M Performance";#N/A,#N/A,FALSE,"Brand Performance";#N/A,#N/A,FALSE,"Marlboro Performance"}</definedName>
    <definedName name="___________jim2" hidden="1">{#N/A,#N/A,FALSE,"L&amp;M Performance";#N/A,#N/A,FALSE,"Brand Performance";#N/A,#N/A,FALSE,"Marlboro Performance"}</definedName>
    <definedName name="___________NBV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______npd1" hidden="1">{#N/A,#N/A,FALSE,"L&amp;M Performance";#N/A,#N/A,FALSE,"Brand Performance";#N/A,#N/A,FALSE,"Marlboro Performance"}</definedName>
    <definedName name="___________po1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______r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______sr20000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______VE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_____jim2" hidden="1">{#N/A,#N/A,FALSE,"L&amp;M Performance";#N/A,#N/A,FALSE,"Brand Performance";#N/A,#N/A,FALSE,"Marlboro Performance"}</definedName>
    <definedName name="__________NBV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_____npd1" hidden="1">{#N/A,#N/A,FALSE,"L&amp;M Performance";#N/A,#N/A,FALSE,"Brand Performance";#N/A,#N/A,FALSE,"Marlboro Performance"}</definedName>
    <definedName name="__________r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_____VE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____d1" hidden="1">{"test","Core Scenario",FALSE,"Cash Flow Analysis"}</definedName>
    <definedName name="_________e1" hidden="1">{"test","Core Scenario",FALSE,"Cash Flow Analysis"}</definedName>
    <definedName name="_________Jim1" hidden="1">{#N/A,#N/A,FALSE,"L&amp;M Performance";#N/A,#N/A,FALSE,"Brand Performance";#N/A,#N/A,FALSE,"Marlboro Performance"}</definedName>
    <definedName name="_________jim2" hidden="1">{#N/A,#N/A,FALSE,"L&amp;M Performance";#N/A,#N/A,FALSE,"Brand Performance";#N/A,#N/A,FALSE,"Marlboro Performance"}</definedName>
    <definedName name="_________key11" hidden="1">'[2]OB Interest'!$C$140</definedName>
    <definedName name="_________key3" hidden="1">'[2]OB Interest'!$D$140</definedName>
    <definedName name="_________key5" hidden="1">'[2]OB Interest'!$C$140</definedName>
    <definedName name="_________key55" hidden="1">'[2]OB Interest'!$C$140</definedName>
    <definedName name="_________key66" hidden="1">'[2]OB Interest'!$D$140</definedName>
    <definedName name="_________key8" hidden="1">'[2]OB Interest'!$D$140</definedName>
    <definedName name="_________key9" hidden="1">'[2]OB Interest'!$C$140</definedName>
    <definedName name="_________kry6" hidden="1">'[2]OB Interest'!$C$140</definedName>
    <definedName name="_________ky2" hidden="1">'[2]OB Interest'!$C$140</definedName>
    <definedName name="_________NBV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____npd1" hidden="1">{#N/A,#N/A,FALSE,"L&amp;M Performance";#N/A,#N/A,FALSE,"Brand Performance";#N/A,#N/A,FALSE,"Marlboro Performance"}</definedName>
    <definedName name="_________po1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____r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____sr20000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____VE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___jim2" hidden="1">{#N/A,#N/A,FALSE,"L&amp;M Performance";#N/A,#N/A,FALSE,"Brand Performance";#N/A,#N/A,FALSE,"Marlboro Performance"}</definedName>
    <definedName name="________key11" hidden="1">#REF!</definedName>
    <definedName name="________key3" hidden="1">#REF!</definedName>
    <definedName name="________key5" hidden="1">#REF!</definedName>
    <definedName name="________key55" hidden="1">#REF!</definedName>
    <definedName name="________key66" hidden="1">#REF!</definedName>
    <definedName name="________key8" hidden="1">#REF!</definedName>
    <definedName name="________key9" hidden="1">#REF!</definedName>
    <definedName name="________kry6" hidden="1">#REF!</definedName>
    <definedName name="________ky2" hidden="1">#REF!</definedName>
    <definedName name="________NBV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___npd1" hidden="1">{#N/A,#N/A,FALSE,"L&amp;M Performance";#N/A,#N/A,FALSE,"Brand Performance";#N/A,#N/A,FALSE,"Marlboro Performance"}</definedName>
    <definedName name="________r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___VE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__jim2" hidden="1">{#N/A,#N/A,FALSE,"L&amp;M Performance";#N/A,#N/A,FALSE,"Brand Performance";#N/A,#N/A,FALSE,"Marlboro Performance"}</definedName>
    <definedName name="_______key11" hidden="1">'[2]OB Interest'!$C$140</definedName>
    <definedName name="_______key3" hidden="1">'[2]OB Interest'!$D$140</definedName>
    <definedName name="_______key5" hidden="1">'[2]OB Interest'!$C$140</definedName>
    <definedName name="_______key55" hidden="1">'[2]OB Interest'!$C$140</definedName>
    <definedName name="_______key66" hidden="1">'[2]OB Interest'!$D$140</definedName>
    <definedName name="_______key8" hidden="1">'[2]OB Interest'!$D$140</definedName>
    <definedName name="_______key9" hidden="1">'[2]OB Interest'!$C$140</definedName>
    <definedName name="_______kry6" hidden="1">'[2]OB Interest'!$C$140</definedName>
    <definedName name="_______ky2" hidden="1">'[2]OB Interest'!$C$140</definedName>
    <definedName name="_______NBV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__npd1" hidden="1">{#N/A,#N/A,FALSE,"L&amp;M Performance";#N/A,#N/A,FALSE,"Brand Performance";#N/A,#N/A,FALSE,"Marlboro Performance"}</definedName>
    <definedName name="_______r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__VE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_d1" hidden="1">{"test","Core Scenario",FALSE,"Cash Flow Analysis"}</definedName>
    <definedName name="______e1" hidden="1">{"test","Core Scenario",FALSE,"Cash Flow Analysis"}</definedName>
    <definedName name="______Jim1" hidden="1">{#N/A,#N/A,FALSE,"L&amp;M Performance";#N/A,#N/A,FALSE,"Brand Performance";#N/A,#N/A,FALSE,"Marlboro Performance"}</definedName>
    <definedName name="______jim2" hidden="1">{#N/A,#N/A,FALSE,"L&amp;M Performance";#N/A,#N/A,FALSE,"Brand Performance";#N/A,#N/A,FALSE,"Marlboro Performance"}</definedName>
    <definedName name="______key11" hidden="1">#REF!</definedName>
    <definedName name="______key3" hidden="1">#REF!</definedName>
    <definedName name="______key5" hidden="1">#REF!</definedName>
    <definedName name="______key55" hidden="1">#REF!</definedName>
    <definedName name="______key66" hidden="1">#REF!</definedName>
    <definedName name="______key8" hidden="1">#REF!</definedName>
    <definedName name="______key9" hidden="1">#REF!</definedName>
    <definedName name="______kry6" hidden="1">#REF!</definedName>
    <definedName name="______ky2" hidden="1">#REF!</definedName>
    <definedName name="______NBV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_npd1" hidden="1">{#N/A,#N/A,FALSE,"L&amp;M Performance";#N/A,#N/A,FALSE,"Brand Performance";#N/A,#N/A,FALSE,"Marlboro Performance"}</definedName>
    <definedName name="______po1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_r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_sr20000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_VE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_xlfn.RTD" hidden="1">#NAME?</definedName>
    <definedName name="_____d1" hidden="1">{"test","Core Scenario",FALSE,"Cash Flow Analysis"}</definedName>
    <definedName name="_____e1" hidden="1">{"test","Core Scenario",FALSE,"Cash Flow Analysis"}</definedName>
    <definedName name="_____Jim1" hidden="1">{#N/A,#N/A,FALSE,"L&amp;M Performance";#N/A,#N/A,FALSE,"Brand Performance";#N/A,#N/A,FALSE,"Marlboro Performance"}</definedName>
    <definedName name="_____jim2" hidden="1">{#N/A,#N/A,FALSE,"L&amp;M Performance";#N/A,#N/A,FALSE,"Brand Performance";#N/A,#N/A,FALSE,"Marlboro Performance"}</definedName>
    <definedName name="_____key11" hidden="1">'[2]OB Interest'!$C$140</definedName>
    <definedName name="_____key3" hidden="1">'[2]OB Interest'!$D$140</definedName>
    <definedName name="_____key4" hidden="1">#REF!</definedName>
    <definedName name="_____key5" hidden="1">'[2]OB Interest'!$C$140</definedName>
    <definedName name="_____key55" hidden="1">'[2]OB Interest'!$C$140</definedName>
    <definedName name="_____key66" hidden="1">'[2]OB Interest'!$D$140</definedName>
    <definedName name="_____key8" hidden="1">'[2]OB Interest'!$D$140</definedName>
    <definedName name="_____key9" hidden="1">'[2]OB Interest'!$C$140</definedName>
    <definedName name="_____kry6" hidden="1">'[2]OB Interest'!$C$140</definedName>
    <definedName name="_____ky2" hidden="1">'[2]OB Interest'!$C$140</definedName>
    <definedName name="_____NBV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npd1" hidden="1">{#N/A,#N/A,FALSE,"L&amp;M Performance";#N/A,#N/A,FALSE,"Brand Performance";#N/A,#N/A,FALSE,"Marlboro Performance"}</definedName>
    <definedName name="_____po1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sr20000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VE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xlfn.RTD" hidden="1">#NAME?</definedName>
    <definedName name="____a2" hidden="1">#REF!</definedName>
    <definedName name="____Jim1" hidden="1">{#N/A,#N/A,FALSE,"L&amp;M Performance";#N/A,#N/A,FALSE,"Brand Performance";#N/A,#N/A,FALSE,"Marlboro Performance"}</definedName>
    <definedName name="____jim2" hidden="1">{#N/A,#N/A,FALSE,"L&amp;M Performance";#N/A,#N/A,FALSE,"Brand Performance";#N/A,#N/A,FALSE,"Marlboro Performance"}</definedName>
    <definedName name="____key11" hidden="1">#REF!</definedName>
    <definedName name="____key3" hidden="1">#REF!</definedName>
    <definedName name="____key5" hidden="1">#REF!</definedName>
    <definedName name="____key55" hidden="1">#REF!</definedName>
    <definedName name="____key66" hidden="1">#REF!</definedName>
    <definedName name="____key8" hidden="1">#REF!</definedName>
    <definedName name="____key9" hidden="1">#REF!</definedName>
    <definedName name="____kry6" hidden="1">#REF!</definedName>
    <definedName name="____ky2" hidden="1">#REF!</definedName>
    <definedName name="____NBV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npd1" hidden="1">{#N/A,#N/A,FALSE,"L&amp;M Performance";#N/A,#N/A,FALSE,"Brand Performance";#N/A,#N/A,FALSE,"Marlboro Performance"}</definedName>
    <definedName name="____r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sr20000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VE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xlfn.RTD" hidden="1">#NAME?</definedName>
    <definedName name="___a2" hidden="1">#REF!</definedName>
    <definedName name="___d4" hidden="1">#REF!</definedName>
    <definedName name="___Jim1" hidden="1">{#N/A,#N/A,FALSE,"L&amp;M Performance";#N/A,#N/A,FALSE,"Brand Performance";#N/A,#N/A,FALSE,"Marlboro Performance"}</definedName>
    <definedName name="___jim2" hidden="1">{#N/A,#N/A,FALSE,"L&amp;M Performance";#N/A,#N/A,FALSE,"Brand Performance";#N/A,#N/A,FALSE,"Marlboro Performance"}</definedName>
    <definedName name="___key11" hidden="1">#REF!</definedName>
    <definedName name="___key3" hidden="1">#REF!</definedName>
    <definedName name="___key5" hidden="1">#REF!</definedName>
    <definedName name="___key55" hidden="1">#REF!</definedName>
    <definedName name="___key66" hidden="1">#REF!</definedName>
    <definedName name="___key8" hidden="1">#REF!</definedName>
    <definedName name="___key9" hidden="1">#REF!</definedName>
    <definedName name="___kry6" hidden="1">#REF!</definedName>
    <definedName name="___ky2" hidden="1">#REF!</definedName>
    <definedName name="___NBV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npd1" hidden="1">{#N/A,#N/A,FALSE,"L&amp;M Performance";#N/A,#N/A,FALSE,"Brand Performance";#N/A,#N/A,FALSE,"Marlboro Performance"}</definedName>
    <definedName name="___PJ102" hidden="1">{"test","Core Scenario",FALSE,"Cash Flow Analysis"}</definedName>
    <definedName name="___r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s2" hidden="1">#REF!</definedName>
    <definedName name="___sr20000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VE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xlfn.RTD" hidden="1">#NAME?</definedName>
    <definedName name="__123Graph_A" hidden="1">'[3]WO CONV'!$GX$33:$GX$58</definedName>
    <definedName name="__123Graph_B" hidden="1">'[3]WO CONV'!$GY$33:$GY$58</definedName>
    <definedName name="__123Graph_C" hidden="1">'[3]WO CONV'!$GZ$33:$GZ$58</definedName>
    <definedName name="__123Graph_D" hidden="1">'[3]WO CONV'!$HA$33:$HA$58</definedName>
    <definedName name="__123Graph_E" hidden="1">'[3]WO CONV'!$HB$33:$HB$58</definedName>
    <definedName name="__123Graph_F" hidden="1">'[3]WO CONV'!$HC$33:$HC$58</definedName>
    <definedName name="__123Graph_LBL_A" hidden="1">'[4]sov tot'!#REF!</definedName>
    <definedName name="__123Graph_LBL_B" hidden="1">'[4]sov tot'!#REF!</definedName>
    <definedName name="__123Graph_X" hidden="1">'[5]otr.cred.'!#REF!</definedName>
    <definedName name="__a1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a11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__a1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a13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__a14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a15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a16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a17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__a2" hidden="1">#REF!</definedName>
    <definedName name="__a3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__a4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a5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a6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__a7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a8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__a9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d1" hidden="1">{"test","Core Scenario",FALSE,"Cash Flow Analysis"}</definedName>
    <definedName name="__d4" hidden="1">#REF!</definedName>
    <definedName name="__e1" hidden="1">{"test","Core Scenario",FALSE,"Cash Flow Analysis"}</definedName>
    <definedName name="__IntlFixup" hidden="1">TRUE()</definedName>
    <definedName name="__Jim1" hidden="1">{#N/A,#N/A,FALSE,"L&amp;M Performance";#N/A,#N/A,FALSE,"Brand Performance";#N/A,#N/A,FALSE,"Marlboro Performance"}</definedName>
    <definedName name="__jim2" hidden="1">{#N/A,#N/A,FALSE,"L&amp;M Performance";#N/A,#N/A,FALSE,"Brand Performance";#N/A,#N/A,FALSE,"Marlboro Performance"}</definedName>
    <definedName name="__key11" hidden="1">#REF!</definedName>
    <definedName name="__key3" hidden="1">#REF!</definedName>
    <definedName name="__key5" hidden="1">#REF!</definedName>
    <definedName name="__key55" hidden="1">#REF!</definedName>
    <definedName name="__key66" hidden="1">#REF!</definedName>
    <definedName name="__key8" hidden="1">#REF!</definedName>
    <definedName name="__key9" hidden="1">#REF!</definedName>
    <definedName name="__kry6" hidden="1">#REF!</definedName>
    <definedName name="__ky2" hidden="1">#REF!</definedName>
    <definedName name="__NBV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npd1" hidden="1">{#N/A,#N/A,FALSE,"L&amp;M Performance";#N/A,#N/A,FALSE,"Brand Performance";#N/A,#N/A,FALSE,"Marlboro Performance"}</definedName>
    <definedName name="__PJ102" hidden="1">{"test","Core Scenario",FALSE,"Cash Flow Analysis"}</definedName>
    <definedName name="__po1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r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s2" hidden="1">#REF!</definedName>
    <definedName name="__sr20000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VE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wc2" hidden="1">{#N/A,#N/A,FALSE,"Summary"}</definedName>
    <definedName name="__xlfn.RTD" hidden="1">#NAME?</definedName>
    <definedName name="_a1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a11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_a1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a13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_a14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a15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a16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a17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_a2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_a3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_a4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a5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a6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_a7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a8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_a9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aSS1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Cat02">#REF!</definedName>
    <definedName name="_Cat03">#REF!</definedName>
    <definedName name="_Cat04">#REF!</definedName>
    <definedName name="_Cat05">#REF!</definedName>
    <definedName name="_Cat06">#REF!</definedName>
    <definedName name="_Cat07">#REF!</definedName>
    <definedName name="_Cat08">#REF!</definedName>
    <definedName name="_Cat09">#REF!</definedName>
    <definedName name="_Cat10">#REF!</definedName>
    <definedName name="_d1" hidden="1">{"test","Core Scenario",FALSE,"Cash Flow Analysis"}</definedName>
    <definedName name="_d4" hidden="1">#REF!</definedName>
    <definedName name="_Dist_Bin" hidden="1">#REF!</definedName>
    <definedName name="_Dist_Values" hidden="1">#REF!</definedName>
    <definedName name="_e1" hidden="1">{"test","Core Scenario",FALSE,"Cash Flow Analysis"}</definedName>
    <definedName name="_f" hidden="1">#REF!</definedName>
    <definedName name="_fc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Fill" hidden="1">#REF!</definedName>
    <definedName name="_FilterDatabase2" hidden="1">[6]DATOS!$A$4:$FM$326</definedName>
    <definedName name="_Jim1" hidden="1">{#N/A,#N/A,FALSE,"L&amp;M Performance";#N/A,#N/A,FALSE,"Brand Performance";#N/A,#N/A,FALSE,"Marlboro Performance"}</definedName>
    <definedName name="_jim2" hidden="1">{#N/A,#N/A,FALSE,"L&amp;M Performance";#N/A,#N/A,FALSE,"Brand Performance";#N/A,#N/A,FALSE,"Marlboro Performance"}</definedName>
    <definedName name="_Key1" hidden="1">#REF!</definedName>
    <definedName name="_key11" hidden="1">#REF!</definedName>
    <definedName name="_Key2" hidden="1">#REF!</definedName>
    <definedName name="_key3" hidden="1">#REF!</definedName>
    <definedName name="_key5" hidden="1">#REF!</definedName>
    <definedName name="_key55" hidden="1">#REF!</definedName>
    <definedName name="_key66" hidden="1">#REF!</definedName>
    <definedName name="_key8" hidden="1">#REF!</definedName>
    <definedName name="_key9" hidden="1">#REF!</definedName>
    <definedName name="_kry6" hidden="1">#REF!</definedName>
    <definedName name="_ky2" hidden="1">#REF!</definedName>
    <definedName name="_myu07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_NBV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NBV24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npd1" hidden="1">{#N/A,#N/A,FALSE,"L&amp;M Performance";#N/A,#N/A,FALSE,"Brand Performance";#N/A,#N/A,FALSE,"Marlboro Performance"}</definedName>
    <definedName name="_Order1" hidden="1">255</definedName>
    <definedName name="_Order2" hidden="1">255</definedName>
    <definedName name="_OurSort" hidden="1">#REF!</definedName>
    <definedName name="_Parse_In" hidden="1">#REF!</definedName>
    <definedName name="_Parse_Out" hidden="1">#REF!</definedName>
    <definedName name="_PJ102" hidden="1">{"test","Core Scenario",FALSE,"Cash Flow Analysis"}</definedName>
    <definedName name="_po1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prueba" hidden="1">#REF!</definedName>
    <definedName name="_r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_s2" hidden="1">#REF!</definedName>
    <definedName name="_Sort" hidden="1">#REF!</definedName>
    <definedName name="_sr20000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VE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wc2" hidden="1">{#N/A,#N/A,FALSE,"Summary"}</definedName>
    <definedName name="a" hidden="1">{#N/A,#N/A,FALSE,"Engr. Est. Part 2 - Detailed"}</definedName>
    <definedName name="aa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aa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aaa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aaaaaa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AAAAAAAAAAAAA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AD" hidden="1">{#N/A,#N/A,FALSE,"L&amp;M Performance";#N/A,#N/A,FALSE,"Brand Performance";#N/A,#N/A,FALSE,"Marlboro Performance"}</definedName>
    <definedName name="abc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abcd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BCRT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br">#REF!</definedName>
    <definedName name="acac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Cwvu.steve." hidden="1">#REF!</definedName>
    <definedName name="ad" hidden="1">{#N/A,#N/A,FALSE,"Summary"}</definedName>
    <definedName name="adf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dfasdfasdf" hidden="1">{#N/A,#N/A,FALSE,"L&amp;M Performance";#N/A,#N/A,FALSE,"Brand Performance";#N/A,#N/A,FALSE,"Marlboro Performance"}</definedName>
    <definedName name="ADN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DN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dsf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adsft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af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agfg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go">#REF!</definedName>
    <definedName name="agsdfg" hidden="1">{#N/A,#N/A,FALSE,"Summary"}</definedName>
    <definedName name="alex" hidden="1">{#N/A,#N/A,FALSE,"L&amp;M Performance";#N/A,#N/A,FALSE,"Brand Performance";#N/A,#N/A,FALSE,"Marlboro Performance"}</definedName>
    <definedName name="ALLALA" hidden="1">{"test","Core Scenario",FALSE,"Cash Flow Analysis"}</definedName>
    <definedName name="am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mor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n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NGE" hidden="1">{#N/A,#N/A,FALSE,"L&amp;M Performance";#N/A,#N/A,FALSE,"Brand Performance";#N/A,#N/A,FALSE,"Marlboro Performance"}</definedName>
    <definedName name="año2008">'[7]AÑO 2008'!$B$6:$AM$135</definedName>
    <definedName name="año2009">#REF!</definedName>
    <definedName name="anscount" hidden="1">1</definedName>
    <definedName name="aqwder" hidden="1">'[4]sov tot'!#REF!</definedName>
    <definedName name="aqwz" hidden="1">'[4]sov tot'!#REF!</definedName>
    <definedName name="as">#REF!</definedName>
    <definedName name="as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SD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sdasd" hidden="1">#REF!</definedName>
    <definedName name="asdfasdf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sdfasf" hidden="1">{#N/A,#N/A,FALSE,"L&amp;M Performance";#N/A,#N/A,FALSE,"Brand Performance";#N/A,#N/A,FALSE,"Marlboro Performance"}</definedName>
    <definedName name="asdfg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see" hidden="1">{#N/A,#N/A,FALSE,"L&amp;M Performance";#N/A,#N/A,FALSE,"Brand Performance";#N/A,#N/A,FALSE,"Marlboro Performance"}</definedName>
    <definedName name="asfs" hidden="1">{#N/A,#N/A,FALSE,"L&amp;M Performance";#N/A,#N/A,FALSE,"Brand Performance";#N/A,#N/A,FALSE,"Marlboro Performance"}</definedName>
    <definedName name="ASS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ssump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ssump_new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ssump1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ssump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ssumption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um" hidden="1">{"test","Core Scenario",FALSE,"Cash Flow Analysis"}</definedName>
    <definedName name="ax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zeaq" hidden="1">'[4]sov tot'!#REF!</definedName>
    <definedName name="AZERT" hidden="1">'[4]sov tot'!#REF!</definedName>
    <definedName name="B" hidden="1">#REF!</definedName>
    <definedName name="Bag" hidden="1">{"test","Core Scenario",FALSE,"Cash Flow Analysis"}</definedName>
    <definedName name="BALANCE_1999">#REF!</definedName>
    <definedName name="BALANCE_2000">#REF!</definedName>
    <definedName name="BALANCES_ABR00">#REF!</definedName>
    <definedName name="BALANCES_AGO00">#REF!</definedName>
    <definedName name="BALANCES_ENE00">#REF!</definedName>
    <definedName name="BALANCES_FEB00">#REF!</definedName>
    <definedName name="BALANCES_JUL00">#REF!</definedName>
    <definedName name="BALANCES_JUN00">#REF!</definedName>
    <definedName name="BALANCES_MAR00">#REF!</definedName>
    <definedName name="BALANCES_MAY00">#REF!</definedName>
    <definedName name="BALANCES_OCT00">#REF!</definedName>
    <definedName name="BALANCES_SET00">#REF!</definedName>
    <definedName name="bbb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bbbbbbbbbbbb" hidden="1">{#N/A,#N/A,FALSE,"L&amp;M Performance";#N/A,#N/A,FALSE,"Brand Performance";#N/A,#N/A,FALSE,"Marlboro Performance"}</definedName>
    <definedName name="bbbbbbbbbbbbb" hidden="1">{#N/A,#N/A,FALSE,"L&amp;M Performance";#N/A,#N/A,FALSE,"Brand Performance";#N/A,#N/A,FALSE,"Marlboro Performance"}</definedName>
    <definedName name="bhf" hidden="1">{#N/A,#N/A,FALSE,"L&amp;M Performance";#N/A,#N/A,FALSE,"Brand Performance";#N/A,#N/A,FALSE,"Marlboro Performance"}</definedName>
    <definedName name="Bisc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book" hidden="1">{"Cash Flow",#N/A,FALSE,"Cash Flow"}</definedName>
    <definedName name="book1" hidden="1">{"Engineering Est. Part I",#N/A,FALSE,"Engr. Est. Part 1";"Engr. Est. Part 2 Short",#N/A,FALSE,"Engr. Est. Part 2 - Short";"Engineering Est. Part II Detailed",#N/A,FALSE,"Engr. Est. Part 2 - Detailed"}</definedName>
    <definedName name="Bridge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budcapex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bv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cap" hidden="1">{"test","Core Scenario",FALSE,"Cash Flow Analysis"}</definedName>
    <definedName name="Capacity" hidden="1">{"test","Core Scenario",FALSE,"Cash Flow Analysis"}</definedName>
    <definedName name="CAPEX98" hidden="1">[8]FINALPHP!$G$27</definedName>
    <definedName name="CapexbyType_Ges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CapexComplVictoriData" hidden="1">'[9]otr.cred.'!#REF!</definedName>
    <definedName name="carlkios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carlos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carlos_1" hidden="1">{"test","Core Scenario",FALSE,"Cash Flow Analysis"}</definedName>
    <definedName name="carlos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carol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cc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ccc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cccc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ccccc" hidden="1">{#N/A,#N/A,FALSE,"L&amp;M Performance";#N/A,#N/A,FALSE,"Brand Performance";#N/A,#N/A,FALSE,"Marlboro Performance"}</definedName>
    <definedName name="Centralcost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cer">#REF!</definedName>
    <definedName name="Chart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CHART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charts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CHILE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claudine" hidden="1">{#N/A,#N/A,FALSE,"L&amp;M Performance";#N/A,#N/A,FALSE,"Brand Performance";#N/A,#N/A,FALSE,"Marlboro Performance"}</definedName>
    <definedName name="Clientes">#REF!</definedName>
    <definedName name="clightbb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cnasjkf" hidden="1">{#N/A,#N/A,FALSE,"L&amp;M Performance";#N/A,#N/A,FALSE,"Brand Performance";#N/A,#N/A,FALSE,"Marlboro Performance"}</definedName>
    <definedName name="Code" hidden="1">#REF!</definedName>
    <definedName name="complassump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complassumption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complpo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contract" hidden="1">{"test","Core Scenario",FALSE,"Cash Flow Analysis"}</definedName>
    <definedName name="control">#REF!</definedName>
    <definedName name="control2">#REF!</definedName>
    <definedName name="control3">#REF!</definedName>
    <definedName name="control4">#REF!</definedName>
    <definedName name="Control5">#REF!</definedName>
    <definedName name="cpsp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CU">[10]galleteria!#REF!</definedName>
    <definedName name="Currency">#REF!</definedName>
    <definedName name="d" hidden="1">#REF!</definedName>
    <definedName name="DADASDFSD" hidden="1">{#N/A,#N/A,FALSE,"L&amp;M Performance";#N/A,#N/A,FALSE,"Brand Performance";#N/A,#N/A,FALSE,"Marlboro Performance"}</definedName>
    <definedName name="data1" hidden="1">#REF!</definedName>
    <definedName name="data2" hidden="1">#REF!</definedName>
    <definedName name="data3" hidden="1">#REF!</definedName>
    <definedName name="data4" hidden="1">'[11]#ref'!#REF!</definedName>
    <definedName name="dataGE16">#REF!</definedName>
    <definedName name="DATAVTA">#REF!</definedName>
    <definedName name="date">[11]DATE!$B$5:$F$503</definedName>
    <definedName name="Date_BS">#REF!</definedName>
    <definedName name="date2">[11]DATE!$C$5:$F$503</definedName>
    <definedName name="DATOS">#REF!</definedName>
    <definedName name="dd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dddd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ddddd" hidden="1">{#N/A,#N/A,FALSE,"Engr. Est. Part 2 - Detailed"}</definedName>
    <definedName name="dddddd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ddddddd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dddddddddd" hidden="1">{#N/A,#N/A,FALSE,"L&amp;M Performance";#N/A,#N/A,FALSE,"Brand Performance";#N/A,#N/A,FALSE,"Marlboro Performance"}</definedName>
    <definedName name="dddddddddddd" hidden="1">{#N/A,#N/A,FALSE,"Summary"}</definedName>
    <definedName name="ddddddddddddd" hidden="1">{#N/A,#N/A,FALSE,"L&amp;M Performance";#N/A,#N/A,FALSE,"Brand Performance";#N/A,#N/A,FALSE,"Marlboro Performance"}</definedName>
    <definedName name="dddddddddddddddddddd" hidden="1">{#N/A,#N/A,FALSE,"L&amp;M Performance";#N/A,#N/A,FALSE,"Brand Performance";#N/A,#N/A,FALSE,"Marlboro Performance"}</definedName>
    <definedName name="de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DeAte2">#REF!</definedName>
    <definedName name="dem" hidden="1">{"test","Core Scenario",FALSE,"Cash Flow Analysis"}</definedName>
    <definedName name="Desc_Project">#REF!</definedName>
    <definedName name="dfasdfsd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dfdaf" hidden="1">{#N/A,#N/A,FALSE,"L&amp;M Performance";#N/A,#N/A,FALSE,"Brand Performance";#N/A,#N/A,FALSE,"Marlboro Performance"}</definedName>
    <definedName name="DFDFDD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dfgdgdfg" hidden="1">#REF!</definedName>
    <definedName name="dfs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dfsdasdf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dic">[7]DEC!$C$6:$DM$146</definedName>
    <definedName name="Discount" hidden="1">#REF!</definedName>
    <definedName name="display_area_2" hidden="1">#REF!</definedName>
    <definedName name="DIST_CHOCOLATES">#REF!</definedName>
    <definedName name="dkdkd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dkkd" hidden="1">{"test","Core Scenario",FALSE,"Cash Flow Analysis"}</definedName>
    <definedName name="doypack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dsf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dsfdsff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DVL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dw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e" hidden="1">#REF!</definedName>
    <definedName name="e_prueba" hidden="1">{#N/A,#N/A,FALSE,"DIA21 (2)";#N/A,#N/A,FALSE,"DIA21 (2)"}</definedName>
    <definedName name="ee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eeee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eeeeeeeeee" hidden="1">{#N/A,#N/A,FALSE,"L&amp;M Performance";#N/A,#N/A,FALSE,"Brand Performance";#N/A,#N/A,FALSE,"Marlboro Performance"}</definedName>
    <definedName name="eeeeeeeeeee" hidden="1">{#N/A,#N/A,FALSE,"L&amp;M Performance";#N/A,#N/A,FALSE,"Brand Performance";#N/A,#N/A,FALSE,"Marlboro Performance"}</definedName>
    <definedName name="eeeeeeeeeeee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egon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Elaine" hidden="1">{#N/A,#N/A,FALSE,"L&amp;M Performance";#N/A,#N/A,FALSE,"Brand Performance";#N/A,#N/A,FALSE,"Marlboro Performance"}</definedName>
    <definedName name="ene">#REF!</definedName>
    <definedName name="enero">#REF!</definedName>
    <definedName name="erc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erere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Exchange_Rate">#REF!</definedName>
    <definedName name="Expense">#REF!</definedName>
    <definedName name="f" hidden="1">#REF!</definedName>
    <definedName name="Farghal" hidden="1">#REF!</definedName>
    <definedName name="fc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FCode" hidden="1">#REF!</definedName>
    <definedName name="fcparnature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feb">#REF!</definedName>
    <definedName name="ffffffff" hidden="1">{#N/A,#N/A,FALSE,"L&amp;M Performance";#N/A,#N/A,FALSE,"Brand Performance";#N/A,#N/A,FALSE,"Marlboro Performance"}</definedName>
    <definedName name="fffffffffffff" hidden="1">{#N/A,#N/A,FALSE,"L&amp;M Performance";#N/A,#N/A,FALSE,"Brand Performance";#N/A,#N/A,FALSE,"Marlboro Performance"}</definedName>
    <definedName name="ffffffffffffff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ffffffffffffffff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FH" hidden="1">{"test","Core Scenario",FALSE,"Cash Flow Analysis"}</definedName>
    <definedName name="fin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Fin_Ass_01">#REF!</definedName>
    <definedName name="Fin_Ass_02">#REF!</definedName>
    <definedName name="Fin_Ass_03">#REF!</definedName>
    <definedName name="Fin_Ass_04">#REF!</definedName>
    <definedName name="Fin_Cargo_01">#REF!</definedName>
    <definedName name="Fin_Cargo_02">#REF!</definedName>
    <definedName name="Fin_Cargo_03">#REF!</definedName>
    <definedName name="Fin_Cargo_04">#REF!</definedName>
    <definedName name="findme" hidden="1">{#N/A,#N/A,FALSE,"Assumptions";#N/A,#N/A,FALSE,"1997 P&amp;L(pk) Estrada";#N/A,#N/A,FALSE,"ONGOING P&amp;L(pk) Estrada"}</definedName>
    <definedName name="findme10" hidden="1">{#N/A,#N/A,FALSE,"1996 P&amp;L TOWTAC(pk)";#N/A,#N/A,FALSE,"ONGOING P&amp;L TOWTAC(pk)";#N/A,#N/A,FALSE,"ATL6TOWTAC COST CARD"}</definedName>
    <definedName name="findme11" hidden="1">{#N/A,#N/A,FALSE,"npv sort";#N/A,#N/A,FALSE,"npv";#N/A,#N/A,FALSE,"npv 4 years  sort";#N/A,#N/A,FALSE,"npv 4 years";#N/A,#N/A,FALSE,"npv 5 years ";#N/A,#N/A,FALSE,"npv 5 years sort"}</definedName>
    <definedName name="findme12" hidden="1">{#N/A,#N/A,FALSE,"Ranch WT ATP Fact Sheet";#N/A,#N/A,FALSE,"1996 P&amp;L Ranch W.T.(pk)";#N/A,#N/A,FALSE,"ONGOING P&amp;L Ranch W.T.(pk)"}</definedName>
    <definedName name="findme13" hidden="1">{#N/A,#N/A,FALSE,"Assumptions";#N/A,#N/A,FALSE,"ATP SCORAC (lb)";#N/A,#N/A,FALSE,"1996 P&amp;L SCO (lb)";#N/A,#N/A,FALSE,"ONG P&amp;L SCO (LB)"}</definedName>
    <definedName name="findme14" hidden="1">{#N/A,#N/A,FALSE,"1997 P&amp;L(pk) (Atlanta)";#N/A,#N/A,FALSE,"ONGOING P&amp;L(PK)(Atlanta)"}</definedName>
    <definedName name="findme2" hidden="1">{#N/A,#N/A,FALSE,"Assumptions";#N/A,#N/A,FALSE,"1997 P&amp;L(pk) Estrada";#N/A,#N/A,FALSE,"ONGOING P&amp;L(pk) Estrada"}</definedName>
    <definedName name="findme3" hidden="1">{#N/A,#N/A,FALSE,"ONGOING P&amp;L TOWTAC(lb)";#N/A,#N/A,FALSE,"ONGOING P&amp;L TOWTAC(pk)";#N/A,#N/A,FALSE,"1996 P&amp;L TOWTAC(lb)";#N/A,#N/A,FALSE,"1996 P&amp;L TOWTAC(pk)"}</definedName>
    <definedName name="findme4" hidden="1">{#N/A,#N/A,FALSE,"Assumptions";#N/A,#N/A,FALSE,"1996 P&amp;L SCO (lb)";#N/A,#N/A,FALSE,"ONG P&amp;L SCO (LB)"}</definedName>
    <definedName name="findme5" hidden="1">{#N/A,#N/A,FALSE,"1996 P&amp;L Pretzels (pk)";#N/A,#N/A,FALSE,"YEAR 1 P&amp;L Pretzels (pk)";#N/A,#N/A,FALSE,"ONGOING P&amp;L (pk) SNK CAN";#N/A,#N/A,FALSE,"Assumptions";#N/A,#N/A,FALSE,"assessment"}</definedName>
    <definedName name="findme6" hidden="1">{#N/A,#N/A,FALSE,"1997 P&amp;L(pk) (Atlanta)";#N/A,#N/A,FALSE,"ONGOING P&amp;L(PK)(Atlanta)"}</definedName>
    <definedName name="findme7" hidden="1">{#N/A,#N/A,FALSE,"Assumptions";#N/A,#N/A,FALSE,"1997 P&amp;L POTATO AC";#N/A,#N/A,FALSE,"ONGOING P&amp;L POTATO AC";#N/A,#N/A,FALSE,"ONGOING P&amp;L POTATO AC (70%)"}</definedName>
    <definedName name="findme8" hidden="1">{#N/A,#N/A,FALSE,"ONGOING P&amp;L POTATO AC";#N/A,#N/A,FALSE,"1997 P&amp;L POTATO AC"}</definedName>
    <definedName name="findme9" hidden="1">{#N/A,#N/A,FALSE,"Assumptions";#N/A,#N/A,FALSE,"1997 P&amp;L(pk) Estrada";#N/A,#N/A,FALSE,"ONGOING P&amp;L(pk) Estrada"}</definedName>
    <definedName name="Fix_Assets">#REF!</definedName>
    <definedName name="fj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FORM">[12]MasterData!$E$2:$E$56</definedName>
    <definedName name="FSD" hidden="1">{"test","Core Scenario",FALSE,"Cash Flow Analysis"}</definedName>
    <definedName name="fsqsqfd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GABY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adfga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gaga" hidden="1">{"payback",#N/A,FALSE,"Wirtschaftlichkeitsberechnung"}</definedName>
    <definedName name="gags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allet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gasdg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asdgas" hidden="1">{"payback2",#N/A,FALSE,"Wirtschaftlichkeitsberechnung"}</definedName>
    <definedName name="gasgd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GE16L1">#REF!</definedName>
    <definedName name="GF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fag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gfag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fgfa" hidden="1">{"payback",#N/A,FALSE,"Wirtschaftlichkeitsberechnung"}</definedName>
    <definedName name="gg" hidden="1">{"test","Core Scenario",FALSE,"Cash Flow Analysis"}</definedName>
    <definedName name="ggggggggg" hidden="1">{#N/A,#N/A,FALSE,"L&amp;M Performance";#N/A,#N/A,FALSE,"Brand Performance";#N/A,#N/A,FALSE,"Marlboro Performance"}</definedName>
    <definedName name="GHJ" hidden="1">{"test","Core Scenario",FALSE,"Cash Flow Analysis"}</definedName>
    <definedName name="goal_2008">'[7]Goals 2008'!$B$5:$P$18</definedName>
    <definedName name="Graficos" hidden="1">{#N/A,#N/A,FALSE,"L&amp;M Performance";#N/A,#N/A,FALSE,"Brand Performance";#N/A,#N/A,FALSE,"Marlboro Performance"}</definedName>
    <definedName name="Grageas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raph">[13]Sheet2!$G$5:$G$13</definedName>
    <definedName name="gsdfag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sdfg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segtregtaert" hidden="1">'[9]otr.cred.'!#REF!</definedName>
    <definedName name="gsfgfs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GUSTAVO" hidden="1">{#N/A,#N/A,FALSE,"DIA21 (2)";#N/A,#N/A,FALSE,"DIA21 (2)"}</definedName>
    <definedName name="gustavo_prueba" hidden="1">{#N/A,#N/A,FALSE,"DIA21 (2)";#N/A,#N/A,FALSE,"DIA21 (2)"}</definedName>
    <definedName name="Hallo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HH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hhh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hhhhhhhhhhh" hidden="1">{#N/A,#N/A,FALSE,"L&amp;M Performance";#N/A,#N/A,FALSE,"Brand Performance";#N/A,#N/A,FALSE,"Marlboro Performance"}</definedName>
    <definedName name="hi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HiddenRows" hidden="1">#REF!</definedName>
    <definedName name="holamamit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iiiiiiiiiiiiiii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iiiiiiiiiiiiiiiiiiii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ILT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inde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Index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INDICADORES_ABR00">'[14]menu principal'!#REF!</definedName>
    <definedName name="INDICADORES_AGO00">'[14]menu principal'!#REF!</definedName>
    <definedName name="INDICADORES_ENE00">'[14]menu principal'!#REF!</definedName>
    <definedName name="INDICADORES_FEB00">'[14]menu principal'!#REF!</definedName>
    <definedName name="INDICADORES_IIIQ">'[14]menu principal'!#REF!</definedName>
    <definedName name="INDICADORES_IIQ">'[14]menu principal'!#REF!</definedName>
    <definedName name="INDICADORES_IQ">'[14]menu principal'!#REF!</definedName>
    <definedName name="INDICADORES_JUL00">'[14]menu principal'!#REF!</definedName>
    <definedName name="INDICADORES_JUN00">'[14]menu principal'!#REF!</definedName>
    <definedName name="INDICADORES_MAR00">'[14]menu principal'!#REF!</definedName>
    <definedName name="INDICADORES_MAY00">'[14]menu principal'!#REF!</definedName>
    <definedName name="INDICADORES_SET00">'[14]menu principal'!#REF!</definedName>
    <definedName name="ISAUR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Itens_Desp">#REF!</definedName>
    <definedName name="iu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j" hidden="1">#REF!</definedName>
    <definedName name="jdjddd" hidden="1">{"test","Core Scenario",FALSE,"Cash Flow Analysis"}</definedName>
    <definedName name="JHNDJD" hidden="1">{#N/A,#N/A,FALSE,"Summary"}</definedName>
    <definedName name="Jim" hidden="1">{#N/A,#N/A,FALSE,"L&amp;M Performance";#N/A,#N/A,FALSE,"Brand Performance";#N/A,#N/A,FALSE,"Marlboro Performance"}</definedName>
    <definedName name="Jimi" hidden="1">{#N/A,#N/A,FALSE,"L&amp;M Performance";#N/A,#N/A,FALSE,"Brand Performance";#N/A,#N/A,FALSE,"Marlboro Performance"}</definedName>
    <definedName name="jimito" hidden="1">{#N/A,#N/A,FALSE,"L&amp;M Performance";#N/A,#N/A,FALSE,"Brand Performance";#N/A,#N/A,FALSE,"Marlboro Performance"}</definedName>
    <definedName name="jimmy" hidden="1">{#N/A,#N/A,FALSE,"L&amp;M Performance";#N/A,#N/A,FALSE,"Brand Performance";#N/A,#N/A,FALSE,"Marlboro Performance"}</definedName>
    <definedName name="jimmyy" hidden="1">{#N/A,#N/A,FALSE,"L&amp;M Performance";#N/A,#N/A,FALSE,"Brand Performance";#N/A,#N/A,FALSE,"Marlboro Performance"}</definedName>
    <definedName name="Juan" hidden="1">{#N/A,#N/A,FALSE,"L&amp;M Performance";#N/A,#N/A,FALSE,"Brand Performance";#N/A,#N/A,FALSE,"Marlboro Performance"}</definedName>
    <definedName name="jul">#REF!</definedName>
    <definedName name="jun">#REF!</definedName>
    <definedName name="k" hidden="1">#REF!</definedName>
    <definedName name="kdfj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Kg_Almas">'[15]% alma'!$D$3:$F$51</definedName>
    <definedName name="KgxTurL3_Fam">'[15]Kg por turno'!$A$70:$C$112</definedName>
    <definedName name="KgxTurW_fam">'[15]Kg por turno'!$A$145:$C$159</definedName>
    <definedName name="kk" hidden="1">'[16]suppl-pack'!#REF!</definedName>
    <definedName name="kkkkkkkkk" hidden="1">{#N/A,#N/A,FALSE,"L&amp;M Performance";#N/A,#N/A,FALSE,"Brand Performance";#N/A,#N/A,FALSE,"Marlboro Performance"}</definedName>
    <definedName name="kl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KPI_2007_2">'[7]KPI 2007'!$B$4:$FJ$112</definedName>
    <definedName name="kraft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ks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KSKS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L_1">'[17]Horno 1'!$AR$8:$AT$22</definedName>
    <definedName name="L_2">'[18]Horno 2'!$AR$8:$AR$23</definedName>
    <definedName name="L_3">'[18]Horno 3'!$AR$8:$AR$23</definedName>
    <definedName name="L_4">'[18]Horno 4'!$AR$8:$AR$17</definedName>
    <definedName name="L_5">'[16]Horno 5'!$AY$8:$AY$35</definedName>
    <definedName name="Lease_Expense">#REF!</definedName>
    <definedName name="Lease_expenses">#REF!</definedName>
    <definedName name="lfsq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LILI" hidden="1">{"test","Core Scenario",FALSE,"Cash Flow Analysis"}</definedName>
    <definedName name="lines">#REF!</definedName>
    <definedName name="LIOLO" hidden="1">{"test","Core Scenario",FALSE,"Cash Flow Analysis"}</definedName>
    <definedName name="LJY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lk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llll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lllllllllllllllllllll" hidden="1">{#N/A,#N/A,FALSE,"L&amp;M Performance";#N/A,#N/A,FALSE,"Brand Performance";#N/A,#N/A,FALSE,"Marlboro Performance"}</definedName>
    <definedName name="lo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Local_Ass_01">#REF!</definedName>
    <definedName name="Local_Ass_02">#REF!</definedName>
    <definedName name="Local_Ass_03">#REF!</definedName>
    <definedName name="Local_Ass_04">#REF!</definedName>
    <definedName name="Local_Ass_05">#REF!</definedName>
    <definedName name="Local_Cargo_01">#REF!</definedName>
    <definedName name="Local_Cargo_02">#REF!</definedName>
    <definedName name="Local_Cargo_03">#REF!</definedName>
    <definedName name="Local_Cargo_04">#REF!</definedName>
    <definedName name="Local_Cargo_05">#REF!</definedName>
    <definedName name="LossGain">#REF!</definedName>
    <definedName name="M" hidden="1">{"test","Core Scenario",FALSE,"Cash Flow Analysis"}</definedName>
    <definedName name="m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macrica" hidden="1">{"test","Core Scenario",FALSE,"Cash Flow Analysis"}</definedName>
    <definedName name="mang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mar">#REF!</definedName>
    <definedName name="marac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marc" hidden="1">{"test","Core Scenario",FALSE,"Cash Flow Analysis"}</definedName>
    <definedName name="MARCELO" hidden="1">{"test","Core Scenario",FALSE,"Cash Flow Analysis"}</definedName>
    <definedName name="marjorie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Matriz">#REF!</definedName>
    <definedName name="Matriz1">#REF!</definedName>
    <definedName name="Mauricio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may">#REF!</definedName>
    <definedName name="meg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mega2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MEGA3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MEGA4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mega5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mega6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MMMM" hidden="1">{#N/A,#N/A,FALSE,"L&amp;M Performance";#N/A,#N/A,FALSE,"Brand Performance";#N/A,#N/A,FALSE,"Marlboro Performance"}</definedName>
    <definedName name="mmmmmmmmmm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morang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morango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muk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MV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my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N">{#N/A,#N/A,FALSE,"DIA21 (2)";#N/A,#N/A,FALSE,"DIA21 (2)"}</definedName>
    <definedName name="ñ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N_Approp">#REF!</definedName>
    <definedName name="N_Suppl">#REF!</definedName>
    <definedName name="Nacional" hidden="1">{#N/A,#N/A,FALSE,"L&amp;M Performance";#N/A,#N/A,FALSE,"Brand Performance";#N/A,#N/A,FALSE,"Marlboro Performance"}</definedName>
    <definedName name="Name_Company">#REF!</definedName>
    <definedName name="nbhgb" hidden="1">{#N/A,#N/A,FALSE,"L&amp;M Performance";#N/A,#N/A,FALSE,"Brand Performance";#N/A,#N/A,FALSE,"Marlboro Performance"}</definedName>
    <definedName name="nn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nnn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ñññññ" hidden="1">{"test","Core Scenario",FALSE,"Cash Flow Analysis"}</definedName>
    <definedName name="nnnnnnnnnnn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Nori" hidden="1">{#N/A,#N/A,FALSE,"L&amp;M Performance";#N/A,#N/A,FALSE,"Brand Performance";#N/A,#N/A,FALSE,"Marlboro Performance"}</definedName>
    <definedName name="notcovered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nov">[7]NOV!$C$6:$DM$146</definedName>
    <definedName name="ñp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NUEVO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o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OA" hidden="1">{#N/A,#N/A,FALSE,"L&amp;M Performance";#N/A,#N/A,FALSE,"Brand Performance";#N/A,#N/A,FALSE,"Marlboro Performance"}</definedName>
    <definedName name="OC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oct">#REF!</definedName>
    <definedName name="oihoihiub" hidden="1">{#N/A,#N/A,FALSE,"L&amp;M Performance";#N/A,#N/A,FALSE,"Brand Performance";#N/A,#N/A,FALSE,"Marlboro Performance"}</definedName>
    <definedName name="ok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oo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ooooooooo" hidden="1">{#N/A,#N/A,FALSE,"L&amp;M Performance";#N/A,#N/A,FALSE,"Brand Performance";#N/A,#N/A,FALSE,"Marlboro Performance"}</definedName>
    <definedName name="oooooooooo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ooooooooooo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OP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OrderTable" hidden="1">#REF!</definedName>
    <definedName name="Original_Cost">#REF!</definedName>
    <definedName name="osl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Over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p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ascale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atern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PAULO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DYLE0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DYLE00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dyle01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DYLE0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DYLE200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DYOB03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EP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lk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plm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plo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O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oi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OIJ" hidden="1">'[4]sov tot'!#REF!</definedName>
    <definedName name="pol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POO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op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Porciones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osjsdjgnsg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owder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pl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pp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ppp" hidden="1">#REF!</definedName>
    <definedName name="ppppppppppp" hidden="1">{#N/A,#N/A,FALSE,"L&amp;M Performance";#N/A,#N/A,FALSE,"Brand Performance";#N/A,#N/A,FALSE,"Marlboro Performance"}</definedName>
    <definedName name="PRD">#REF!</definedName>
    <definedName name="Previous">#REF!</definedName>
    <definedName name="ProdForm" hidden="1">#REF!</definedName>
    <definedName name="PRODUCCION">#REF!</definedName>
    <definedName name="Product" hidden="1">#REF!</definedName>
    <definedName name="Productivity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ROG_CHOCOLATERIA">#REF!</definedName>
    <definedName name="PROG_GALLETERIA">[10]galleteria!#REF!</definedName>
    <definedName name="projout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Proyvta">#REF!</definedName>
    <definedName name="Proyvta01">#REF!</definedName>
    <definedName name="Prueba" hidden="1">#REF!</definedName>
    <definedName name="PTS" hidden="1">{#N/A,#N/A,FALSE,"L&amp;M Performance";#N/A,#N/A,FALSE,"Brand Performance";#N/A,#N/A,FALSE,"Marlboro Performance"}</definedName>
    <definedName name="Puta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q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q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qazee" hidden="1">'[4]sov tot'!#REF!</definedName>
    <definedName name="qe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QER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qfsdfc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qqq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qqqqqqqq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qqqqqqqqq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qqqqqqqqqq" hidden="1">{#N/A,#N/A,FALSE,"Summary"}</definedName>
    <definedName name="qqqqqqqqqqq" hidden="1">{#N/A,#N/A,FALSE,"L&amp;M Performance";#N/A,#N/A,FALSE,"Brand Performance";#N/A,#N/A,FALSE,"Marlboro Performance"}</definedName>
    <definedName name="qs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QSDRE" hidden="1">'[4]sov tot'!#REF!</definedName>
    <definedName name="qw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R_1">'[18]Horno 1'!$AR$8:$AT$22</definedName>
    <definedName name="R_2">'[18]Horno 2'!$AR$8:$AT$23</definedName>
    <definedName name="R_3">'[18]Horno 3'!$AR$8:$AT$23</definedName>
    <definedName name="R_4">'[18]Horno 4'!$AR$8:$AU$16</definedName>
    <definedName name="R_5">'[16]Horno 5'!$AY$8:$BB$35</definedName>
    <definedName name="ra" hidden="1">#REF!</definedName>
    <definedName name="RCArea" hidden="1">#REF!</definedName>
    <definedName name="Rec" hidden="1">{#N/A,#N/A,FALSE,"L&amp;M Performance";#N/A,#N/A,FALSE,"Brand Performance";#N/A,#N/A,FALSE,"Marlboro Performance"}</definedName>
    <definedName name="Reg_Ass_01">#REF!</definedName>
    <definedName name="Reg_Ass_02">#REF!</definedName>
    <definedName name="Reg_Cargo_01">#REF!</definedName>
    <definedName name="Reg_Cargo_02">#REF!</definedName>
    <definedName name="Request">#REF!</definedName>
    <definedName name="Rework_1">#REF!</definedName>
    <definedName name="Rework_2">#REF!</definedName>
    <definedName name="RGLKHYIQEURHGPOERÑQ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rgrthrtgjhyrty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Rose" hidden="1">{#N/A,#N/A,FALSE,"L&amp;M Performance";#N/A,#N/A,FALSE,"Brand Performance";#N/A,#N/A,FALSE,"Marlboro Performance"}</definedName>
    <definedName name="rosie" hidden="1">{#N/A,#N/A,FALSE,"L&amp;M Performance";#N/A,#N/A,FALSE,"Brand Performance";#N/A,#N/A,FALSE,"Marlboro Performance"}</definedName>
    <definedName name="RowColumnLabel">#REF!</definedName>
    <definedName name="rtsr" hidden="1">{#N/A,#N/A,FALSE,"L&amp;M Performance";#N/A,#N/A,FALSE,"Brand Performance";#N/A,#N/A,FALSE,"Marlboro Performance"}</definedName>
    <definedName name="SAPBEXhrIndnt" hidden="1">3</definedName>
    <definedName name="SAPBEXrevision" hidden="1">6</definedName>
    <definedName name="SAPBEXsysID" hidden="1">"BWP"</definedName>
    <definedName name="SAPBEXwbID" hidden="1">"2J218MPS5PYVM1RE54P1Z2ASU"</definedName>
    <definedName name="sdf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sdfgsdfger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sdfgwdew" hidden="1">{#N/A,#N/A,FALSE,"L&amp;M Performance";#N/A,#N/A,FALSE,"Brand Performance";#N/A,#N/A,FALSE,"Marlboro Performance"}</definedName>
    <definedName name="sdg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sdgasd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sdgs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sdsdf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se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SEGURIDAD" hidden="1">{"test","Core Scenario",FALSE,"Cash Flow Analysis"}</definedName>
    <definedName name="set">#REF!</definedName>
    <definedName name="sheet1" hidden="1">{#N/A,#N/A,FALSE,"Assumptions";#N/A,#N/A,FALSE,"1997 P&amp;L(pk) Estrada";#N/A,#N/A,FALSE,"ONGOING P&amp;L(pk) Estrada"}</definedName>
    <definedName name="Sheet2" hidden="1">{#N/A,#N/A,FALSE,"Assumptions";#N/A,#N/A,FALSE,"1997 P&amp;L(pk) Estrada";#N/A,#N/A,FALSE,"ONGOING P&amp;L(pk) Estrada"}</definedName>
    <definedName name="sheet3" hidden="1">{"Request for Lease",#N/A,FALSE,"Request for Lease"}</definedName>
    <definedName name="Shifts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simon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SL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SL.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0</definedName>
    <definedName name="solver_neg" hidden="1">2</definedName>
    <definedName name="solver_num" hidden="1">0</definedName>
    <definedName name="solver_nwt" hidden="1">1</definedName>
    <definedName name="solver_pre" hidden="1">0.000001</definedName>
    <definedName name="solver_rel1" hidden="1">1</definedName>
    <definedName name="solver_rel2" hidden="1">1</definedName>
    <definedName name="solver_rel3" hidden="1">1</definedName>
    <definedName name="solver_rel4" hidden="1">1</definedName>
    <definedName name="solver_rel5" hidden="1">1</definedName>
    <definedName name="solver_rel6" hidden="1">1</definedName>
    <definedName name="solver_rel7" hidden="1">1</definedName>
    <definedName name="solver_rhs1" hidden="1">5</definedName>
    <definedName name="solver_rhs2" hidden="1">2</definedName>
    <definedName name="solver_rhs3" hidden="1">2</definedName>
    <definedName name="solver_rhs4" hidden="1">2</definedName>
    <definedName name="solver_rhs5" hidden="1">2</definedName>
    <definedName name="solver_rhs6" hidden="1">2</definedName>
    <definedName name="solver_rhs7" hidden="1">2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3</definedName>
    <definedName name="solver_val" hidden="1">0</definedName>
    <definedName name="SpecialPrice" hidden="1">#REF!</definedName>
    <definedName name="ss" hidden="1">{"test","Core Scenario",FALSE,"Cash Flow Analysis"}</definedName>
    <definedName name="sss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ssss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sssss" hidden="1">{#N/A,#N/A,FALSE,"Engr. Est. Part 2 - Detailed"}</definedName>
    <definedName name="ssssss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ssssssss" hidden="1">{#N/A,#N/A,FALSE,"L&amp;M Performance";#N/A,#N/A,FALSE,"Brand Performance";#N/A,#N/A,FALSE,"Marlboro Performance"}</definedName>
    <definedName name="SSSSSSSSS" hidden="1">{"test","Core Scenario",FALSE,"Cash Flow Analysis"}</definedName>
    <definedName name="std05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su" hidden="1">{"test","Core Scenario",FALSE,"Cash Flow Analysis"}</definedName>
    <definedName name="SV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SV_Compound" hidden="1">{#N/A,#N/A,FALSE,"L&amp;M Performance";#N/A,#N/A,FALSE,"Brand Performance";#N/A,#N/A,FALSE,"Marlboro Performance"}</definedName>
    <definedName name="Swvu.steve." hidden="1">#REF!</definedName>
    <definedName name="tabakinloco" hidden="1">{#N/A,#N/A,FALSE,"L&amp;M Performance";#N/A,#N/A,FALSE,"Brand Performance";#N/A,#N/A,FALSE,"Marlboro Performance"}</definedName>
    <definedName name="Tati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tbl_ProdInfo" hidden="1">#REF!</definedName>
    <definedName name="teste" hidden="1">{"test","Core Scenario",FALSE,"Cash Flow Analysis"}</definedName>
    <definedName name="tet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ti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Tit_Project">#REF!</definedName>
    <definedName name="Title">#REF!</definedName>
    <definedName name="TonxTurB2">[15]Sheet1!$D$3:$I$44</definedName>
    <definedName name="TonxTurB3">[15]Sheet1!$D$45:$I$69</definedName>
    <definedName name="TonxTurL1">[15]Sheet1!$D$70:$I$101</definedName>
    <definedName name="TonxTurL2">[15]Sheet1!$D$102:$I$165</definedName>
    <definedName name="TonxTurL3">[15]Sheet1!$D$166:$I$240</definedName>
    <definedName name="TonXTurL4">[15]Sheet1!$D$241:$I$305</definedName>
    <definedName name="TonxTurW">[15]Sheet1!$D$306:$I$325</definedName>
    <definedName name="toro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Total_Ano0">#REF!</definedName>
    <definedName name="Total_Cash">#REF!</definedName>
    <definedName name="TP_1_D">#REF!</definedName>
    <definedName name="TP_1_MONTH">#REF!</definedName>
    <definedName name="TP_1_Y">#REF!</definedName>
    <definedName name="TP_2_D">#REF!</definedName>
    <definedName name="TP_2_MONTH">#REF!</definedName>
    <definedName name="TP_2_Y">#REF!</definedName>
    <definedName name="transPO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transsr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trds" hidden="1">#REF!</definedName>
    <definedName name="trds10" hidden="1">#REF!</definedName>
    <definedName name="trds11" hidden="1">#REF!</definedName>
    <definedName name="trds2" hidden="1">#REF!</definedName>
    <definedName name="trds3" hidden="1">#REF!</definedName>
    <definedName name="trds4" hidden="1">#REF!</definedName>
    <definedName name="trds6" hidden="1">#REF!</definedName>
    <definedName name="trds7" hidden="1">#REF!</definedName>
    <definedName name="tttttttttttt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ttttttttttttttttttttttttt" hidden="1">{#N/A,#N/A,FALSE,"Summary"}</definedName>
    <definedName name="uiu" hidden="1">'[16]suppl-pack'!#REF!</definedName>
    <definedName name="ujj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Uno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uruguay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uuuuuuuuuu" hidden="1">{#N/A,#N/A,FALSE,"L&amp;M Performance";#N/A,#N/A,FALSE,"Brand Performance";#N/A,#N/A,FALSE,"Marlboro Performance"}</definedName>
    <definedName name="uuuuuuuuuuu" hidden="1">{#N/A,#N/A,FALSE,"L&amp;M Performance";#N/A,#N/A,FALSE,"Brand Performance";#N/A,#N/A,FALSE,"Marlboro Performance"}</definedName>
    <definedName name="uvw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VA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VAL" hidden="1">{#N/A,#N/A,FALSE,"L&amp;M Performance";#N/A,#N/A,FALSE,"Brand Performance";#N/A,#N/A,FALSE,"Marlboro Performance"}</definedName>
    <definedName name="Valor_1Trim">#REF!</definedName>
    <definedName name="Valor_2Trim">#REF!</definedName>
    <definedName name="Valor_3Trim">#REF!</definedName>
    <definedName name="Valor_4Trim">#REF!</definedName>
    <definedName name="Valor_Ano1">#REF!</definedName>
    <definedName name="Valor_Ano2">#REF!</definedName>
    <definedName name="Valor_Ano3">#REF!</definedName>
    <definedName name="Valor_Subseq">#REF!</definedName>
    <definedName name="vav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vb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vc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Version1">#REF!</definedName>
    <definedName name="Version2">#REF!</definedName>
    <definedName name="vg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Vis" hidden="1">{#N/A,#N/A,FALSE,"L&amp;M Performance";#N/A,#N/A,FALSE,"Brand Performance";#N/A,#N/A,FALSE,"Marlboro Performance"}</definedName>
    <definedName name="vjvjhvf" hidden="1">{"test","Core Scenario",FALSE,"Cash Flow Analysis"}</definedName>
    <definedName name="vvv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vvvvvvvvv" hidden="1">{#N/A,#N/A,FALSE,"L&amp;M Performance";#N/A,#N/A,FALSE,"Brand Performance";#N/A,#N/A,FALSE,"Marlboro Performance"}</definedName>
    <definedName name="w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W.off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W_Ago_15C">#REF!</definedName>
    <definedName name="W_Ago_16C">#REF!</definedName>
    <definedName name="W_Año2007_15C">#REF!</definedName>
    <definedName name="W_Año2007_16C">#REF!</definedName>
    <definedName name="W_Apr_15C">#REF!</definedName>
    <definedName name="W_Apr_16C">#REF!</definedName>
    <definedName name="W_Feb_15C">#REF!</definedName>
    <definedName name="W_Feb_16C">#REF!</definedName>
    <definedName name="W_Jan_15C">#REF!</definedName>
    <definedName name="W_Jan_16C">#REF!</definedName>
    <definedName name="W_Jul_15C">#REF!</definedName>
    <definedName name="W_Jul_16C">#REF!</definedName>
    <definedName name="W_Jun_15C">#REF!</definedName>
    <definedName name="W_Jun_16C">#REF!</definedName>
    <definedName name="W_Mar_15C">#REF!</definedName>
    <definedName name="W_Mar_16C">#REF!</definedName>
    <definedName name="W_May_15C">#REF!</definedName>
    <definedName name="W_May_16C">#REF!</definedName>
    <definedName name="W_Oct_15C">#REF!</definedName>
    <definedName name="W_Oct_16C">#REF!</definedName>
    <definedName name="W_Set_15C">#REF!</definedName>
    <definedName name="W_Set_16C">#REF!</definedName>
    <definedName name="wa" hidden="1">{"test","Core Scenario",FALSE,"Cash Flow Analysis"}</definedName>
    <definedName name="Wafer">[18]Wafer!$AR$8:$AR$18</definedName>
    <definedName name="Waterfall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we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weekly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wef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wefwef" hidden="1">#REF!</definedName>
    <definedName name="WER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wp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wr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WriteOffRM..PM" hidden="1">{#N/A,#N/A,FALSE,"Assumptions";#N/A,#N/A,FALSE,"1997 P&amp;L(pk) Estrada";#N/A,#N/A,FALSE,"ONGOING P&amp;L(pk) Estrada"}</definedName>
    <definedName name="writeoffs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wrmpoluy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wrn.act96." hidden="1">{"act96",#N/A,FALSE,"DATEN";"act96",#N/A,FALSE,"Lumpsum"}</definedName>
    <definedName name="wrn.act96lumpsum." hidden="1">{"act96",#N/A,FALSE,"Lumpsum"}</definedName>
    <definedName name="wrn.ALL." hidden="1">{"SUMMARY",#N/A,FALSE,"Interest Analysis";"DETAIL",#N/A,FALSE,"Interest Analysis"}</definedName>
    <definedName name="wrn.all._.schedules.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wrn.all._.schedules23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wrn.capital._.schedules.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wrn.Cash._.Flow." hidden="1">{"Cash Flow",#N/A,FALSE,"Cash Flow"}</definedName>
    <definedName name="wrn.CLORETS粒." hidden="1">{#N/A,#N/A,FALSE,"20P";#N/A,#N/A,FALSE,"30P";#N/A,#N/A,FALSE,"3P";#N/A,#N/A,FALSE,"5P";#N/A,#N/A,FALSE,"SAMPL PACK"}</definedName>
    <definedName name="wrn.Core._.Scenario." hidden="1">{"test","Core Scenario",FALSE,"Cash Flow Analysis"}</definedName>
    <definedName name="wrn.Cost._.Reduction." hidden="1">{"Cost Reduction",#N/A,FALSE,"Cost Reduction"}</definedName>
    <definedName name="wrn.DETAIL." hidden="1">{"DETAIL",#N/A,FALSE,"Interest Analysis"}</definedName>
    <definedName name="wrn.Engineering._.I._.and._.II." hidden="1">{"Engineering Est. Part I",#N/A,FALSE,"Engr. Est. Part 1";"Engr. Est. Part 2 Short",#N/A,FALSE,"Engr. Est. Part 2 - Short";"Engineering Est. Part II Detailed",#N/A,FALSE,"Engr. Est. Part 2 - Detailed"}</definedName>
    <definedName name="wrn.Engineering._.Part._.I." hidden="1">{"Engineering Est. Part I",#N/A,FALSE,"Engr. Est. Part 1"}</definedName>
    <definedName name="wrn.Engineering._.Part._.II._.Detailed." hidden="1">{#N/A,#N/A,FALSE,"Engr. Est. Part 2 - Detailed"}</definedName>
    <definedName name="wrn.Engineering._.Part._.II._.Short." hidden="1">{"Engr. Est. Part 2 Short",#N/A,FALSE,"Engr. Est. Part 2 - Short"}</definedName>
    <definedName name="wrn.Environmental." hidden="1">{"Environmental",#N/A,FALSE,"Environmental"}</definedName>
    <definedName name="wrn.executive._.summary." hidden="1">{"ex sum oth brnds",#N/A,FALSE,"Baking - retail"}</definedName>
    <definedName name="wrn.Group._.Endorsements." hidden="1">{"Group Endorsements",#N/A,FALSE,"Group Endorsements"}</definedName>
    <definedName name="wrn.Investitionen._.1997." hidden="1">{#N/A,#N/A,TRUE,"RF21";#N/A,#N/A,TRUE,"NP Prior years";#N/A,#N/A,TRUE,"LS Prior years";#N/A,#N/A,TRUE,"NP 1997";#N/A,#N/A,TRUE,"LS 1997";#N/A,#N/A,TRUE,"Flex Fund"}</definedName>
    <definedName name="wrn.Lease._.vs.._.Purchase." hidden="1">{"Lease vs. Purchase",#N/A,FALSE,"Lease vs. Purchase"}</definedName>
    <definedName name="wrn.Long._.Report." hidden="1">{#N/A,#N/A,TRUE,"Cover";#N/A,#N/A,TRUE,"Header (ld)";#N/A,#N/A,TRUE,"T&amp;O By Region";#N/A,#N/A,TRUE,"Region Charts ";#N/A,#N/A,TRUE,"T&amp;O London";#N/A,#N/A,TRUE,"AD Report";#N/A,#N/A,TRUE,"Var by OU"}</definedName>
    <definedName name="wrn.Long._.Report.a" hidden="1">{#N/A,#N/A,TRUE,"Cover";#N/A,#N/A,TRUE,"Header (ld)";#N/A,#N/A,TRUE,"T&amp;O By Region";#N/A,#N/A,TRUE,"Region Charts ";#N/A,#N/A,TRUE,"T&amp;O London";#N/A,#N/A,TRUE,"AD Report";#N/A,#N/A,TRUE,"Var by OU"}</definedName>
    <definedName name="wrn.Long._Report.1" hidden="1">{#N/A,#N/A,TRUE,"Cover";#N/A,#N/A,TRUE,"Header (ld)";#N/A,#N/A,TRUE,"T&amp;O By Region";#N/A,#N/A,TRUE,"Region Charts ";#N/A,#N/A,TRUE,"T&amp;O London";#N/A,#N/A,TRUE,"AD Report";#N/A,#N/A,TRUE,"Var by OU"}</definedName>
    <definedName name="wrn.Long._Report.a1" hidden="1">{#N/A,#N/A,TRUE,"Cover";#N/A,#N/A,TRUE,"Header (ld)";#N/A,#N/A,TRUE,"T&amp;O By Region";#N/A,#N/A,TRUE,"Region Charts ";#N/A,#N/A,TRUE,"T&amp;O London";#N/A,#N/A,TRUE,"AD Report";#N/A,#N/A,TRUE,"Var by OU"}</definedName>
    <definedName name="wrn.lsob96." hidden="1">{"ob96jan",#N/A,FALSE,"Lumpsum"}</definedName>
    <definedName name="wrn.ob96." hidden="1">{"ob96jan",#N/A,FALSE,"DATEN";"ob96jan",#N/A,FALSE,"Lumpsum"}</definedName>
    <definedName name="wrn.payback." hidden="1">{"payback",#N/A,FALSE,"Wirtschaftlichkeitsberechnung"}</definedName>
    <definedName name="wrn.payback2." hidden="1">{"payback2",#N/A,FALSE,"Wirtschaftlichkeitsberechnung"}</definedName>
    <definedName name="wrn.Post._.Approval." hidden="1">{"Post Approval",#N/A,FALSE,"Post-Approval"}</definedName>
    <definedName name="wrn.Quality._.Assurance." hidden="1">{"Quality Assurance",#N/A,FALSE,"Quality Assurance"}</definedName>
    <definedName name="wrn.report." hidden="1">{#N/A,#N/A,FALSE,"Summary"}</definedName>
    <definedName name="wrn.report.425" hidden="1">{#N/A,#N/A,FALSE,"Summary"}</definedName>
    <definedName name="wrn.Request._.for._.CPA." hidden="1">{"Request for CPA",#N/A,FALSE,"Request for Appropriation"}</definedName>
    <definedName name="wrn.Request._.for._.Lease." hidden="1">{"Request for Lease",#N/A,FALSE,"Request for Lease"}</definedName>
    <definedName name="wrn.Short._.Report." hidden="1">{#N/A,#N/A,TRUE,"Cover";#N/A,#N/A,TRUE,"Header (eu)";#N/A,#N/A,TRUE,"Region Charts";#N/A,#N/A,TRUE,"T&amp;O By Region";#N/A,#N/A,TRUE,"AD Report"}</definedName>
    <definedName name="wrn.Short._.Report.1" hidden="1">{#N/A,#N/A,TRUE,"Cover";#N/A,#N/A,TRUE,"Header (eu)";#N/A,#N/A,TRUE,"Region Charts";#N/A,#N/A,TRUE,"T&amp;O By Region";#N/A,#N/A,TRUE,"AD Report"}</definedName>
    <definedName name="wrn.srf96." hidden="1">{"srf96",#N/A,FALSE,"DATEN";"srf96",#N/A,FALSE,"Lumpsum"}</definedName>
    <definedName name="wrn.Statement._.of._.Earnings." hidden="1">{"Statement of Earnings",#N/A,FALSE,"Statement of Earnings"}</definedName>
    <definedName name="wrn.summary." hidden="1">{"summary",#N/A,FALSE,"DATEN";"summary",#N/A,FALSE,"Lumpsum"}</definedName>
    <definedName name="wrn.tobacco_charts." hidden="1">{#N/A,#N/A,FALSE,"L&amp;M Performance";#N/A,#N/A,FALSE,"Brand Performance";#N/A,#N/A,FALSE,"Marlboro Performance"}</definedName>
    <definedName name="wrn1.cash._flow." hidden="1">{"Cash Flow",#N/A,FALSE,"Cash Flow"}</definedName>
    <definedName name="wrnbebiy" hidden="1">{#N/A,#N/A,FALSE,"Summary"}</definedName>
    <definedName name="wrnfallo" hidden="1">{#N/A,#N/A,FALSE,"L&amp;M Performance";#N/A,#N/A,FALSE,"Brand Performance";#N/A,#N/A,FALSE,"Marlboro Performance"}</definedName>
    <definedName name="wtn.3" hidden="1">{"Environmental",#N/A,FALSE,"Environmental"}</definedName>
    <definedName name="wvu.steve." hidden="1">{TRUE,TRUE,-1.25,-15.5,772.5,493.5,FALSE,TRUE,TRUE,TRUE,0,20,#N/A,1,#N/A,8.65625,35.2941176470588,1,FALSE,FALSE,3,TRUE,1,FALSE,100,"Swvu.steve.","ACwvu.steve.",#N/A,FALSE,FALSE,0.75,0.75,1,1,1,"&amp;A","Page &amp;P",FALSE,FALSE,FALSE,TRUE,1,100,#N/A,#N/A,FALSE,FALSE,#N/A,#N/A,FALSE,FALSE,FALSE,1,600,600,FALSE,FALSE,TRUE,TRUE,TRUE}</definedName>
    <definedName name="ww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WWER" hidden="1">{"test","Core Scenario",FALSE,"Cash Flow Analysis"}</definedName>
    <definedName name="WWWW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wwwwwwwww" hidden="1">{#N/A,#N/A,FALSE,"L&amp;M Performance";#N/A,#N/A,FALSE,"Brand Performance";#N/A,#N/A,FALSE,"Marlboro Performance"}</definedName>
    <definedName name="XCDER" hidden="1">'[4]sov tot'!#REF!</definedName>
    <definedName name="xcvzxczxzdczx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xddd" hidden="1">{#N/A,#N/A,FALSE,"Summary"}</definedName>
    <definedName name="xx" hidden="1">#REF!</definedName>
    <definedName name="xxx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xxxx" hidden="1">#REF!</definedName>
    <definedName name="xxxxxx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xxxxxxxx" hidden="1">{#N/A,#N/A,FALSE,"L&amp;M Performance";#N/A,#N/A,FALSE,"Brand Performance";#N/A,#N/A,FALSE,"Marlboro Performance"}</definedName>
    <definedName name="xxxxxxxxxxxxxxx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xxxxxxxxxxxxxxxxxxxxx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xyz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yan" hidden="1">{#N/A,#N/A,FALSE,"L&amp;M Performance";#N/A,#N/A,FALSE,"Brand Performance";#N/A,#N/A,FALSE,"Marlboro Performance"}</definedName>
    <definedName name="yh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Yield">#REF!</definedName>
    <definedName name="Yield_1">#REF!</definedName>
    <definedName name="Yield_2">#REF!</definedName>
    <definedName name="yt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YTD_2008">#REF!</definedName>
    <definedName name="YTGBH" hidden="1">'[4]sov tot'!#REF!</definedName>
    <definedName name="yyyyyyyyyyyyyy" hidden="1">{#N/A,#N/A,FALSE,"L&amp;M Performance";#N/A,#N/A,FALSE,"Brand Performance";#N/A,#N/A,FALSE,"Marlboro Performance"}</definedName>
    <definedName name="z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Z_2AFD2E8D_3D03_4813_8B05_F9D4BE800E07_.wvu.PrintArea" hidden="1">#REF!</definedName>
    <definedName name="Z_357EEF68_4F39_42C7_9EEB_87BEC59B578B_.wvu.PrintArea" hidden="1">#REF!</definedName>
    <definedName name="Z_422F6220_13A9_11D5_B09A_0050DA2FB877_.wvu.PrintArea" hidden="1">#REF!</definedName>
    <definedName name="Z_4634084F_22B1_43A2_BC12_BA4FB0D7A126_.wvu.PrintArea" hidden="1">#REF!</definedName>
    <definedName name="Z_4B2D6D4A_C75D_4A68_9856_C75A4E5366DD_.wvu.PrintArea" hidden="1">#REF!</definedName>
    <definedName name="Z_75841E9E_685C_4808_8F8C_5FBC00E5259D_.wvu.PrintArea" hidden="1">#REF!</definedName>
    <definedName name="z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zdfbfa" hidden="1">{#N/A,#N/A,FALSE,"1997 P&amp;L(pk) (Atlanta)";#N/A,#N/A,FALSE,"ONGOING P&amp;L(PK)(Atlanta)"}</definedName>
    <definedName name="zm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zñ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zsxaq" hidden="1">'[4]sov tot'!#REF!</definedName>
    <definedName name="zx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zz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zzzz" hidden="1">{"test","Core Scenario",FALSE,"Cash Flow Analysis"}</definedName>
    <definedName name="zzzzzzzz" hidden="1">{#N/A,#N/A,FALSE,"Assumptions";#N/A,#N/A,FALSE,"1997 P&amp;L(pk) Estrada";#N/A,#N/A,FALSE,"ONGOING P&amp;L(pk) Estrada"}</definedName>
    <definedName name="zzzzzzzzzzzz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86" i="1" l="1"/>
  <c r="G78" i="1"/>
  <c r="H66" i="1"/>
  <c r="H65" i="1"/>
  <c r="I51" i="1"/>
  <c r="I40" i="1"/>
  <c r="I29" i="1"/>
  <c r="J28" i="1"/>
  <c r="I28" i="1"/>
  <c r="I23" i="1"/>
  <c r="G40" i="1" l="1"/>
  <c r="H40" i="1" s="1"/>
  <c r="G29" i="1"/>
  <c r="G28" i="1"/>
  <c r="G30" i="1" s="1"/>
  <c r="B28" i="1"/>
  <c r="F24" i="1"/>
  <c r="G23" i="1"/>
  <c r="B23" i="1"/>
  <c r="H28" i="1" l="1"/>
  <c r="H23" i="1"/>
  <c r="H2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G30" authorId="0" shapeId="0" xr:uid="{73C1BE1F-D372-4B24-88E6-A095AD0EFD40}">
      <text>
        <r>
          <rPr>
            <sz val="10"/>
            <rFont val="Arial"/>
            <family val="2"/>
          </rPr>
          <t xml:space="preserve">Manzanares, Melissa:
Ratio </t>
        </r>
      </text>
    </comment>
  </commentList>
</comments>
</file>

<file path=xl/sharedStrings.xml><?xml version="1.0" encoding="utf-8"?>
<sst xmlns="http://schemas.openxmlformats.org/spreadsheetml/2006/main" count="264" uniqueCount="94">
  <si>
    <t>Pilot Data Collection (Scope)</t>
  </si>
  <si>
    <t>Plant</t>
  </si>
  <si>
    <t>PLANT_01</t>
  </si>
  <si>
    <t>Format</t>
  </si>
  <si>
    <t>Resources</t>
  </si>
  <si>
    <t>Multipack</t>
  </si>
  <si>
    <t>RES_029</t>
  </si>
  <si>
    <t>Slug</t>
  </si>
  <si>
    <t>RES_035</t>
  </si>
  <si>
    <t>Oven</t>
  </si>
  <si>
    <t>RES_041</t>
  </si>
  <si>
    <t>SKU_00323</t>
  </si>
  <si>
    <t>LINE_B</t>
  </si>
  <si>
    <t>Flavour 1: FLAVOR_19!</t>
  </si>
  <si>
    <t>DESC_SKU_00323</t>
  </si>
  <si>
    <t>SKU_00320</t>
  </si>
  <si>
    <t>DESC_SKU_00320</t>
  </si>
  <si>
    <t>SKU_00321</t>
  </si>
  <si>
    <t>DESC_SKU_00321</t>
  </si>
  <si>
    <t>SKU_00322</t>
  </si>
  <si>
    <t>DESC_SKU_00322</t>
  </si>
  <si>
    <t>SKU_00473</t>
  </si>
  <si>
    <t>DESC_SKU_00473</t>
  </si>
  <si>
    <t>SKU_00324</t>
  </si>
  <si>
    <t>DESC_SKU_00324</t>
  </si>
  <si>
    <t>SKU_00472</t>
  </si>
  <si>
    <t>DESC_SKU_00472</t>
  </si>
  <si>
    <t>SKU_00028</t>
  </si>
  <si>
    <t>Flavour 2: FLAVOR_22</t>
  </si>
  <si>
    <t>Granel</t>
  </si>
  <si>
    <t>DESC_SKU_00028</t>
  </si>
  <si>
    <t>Go to CB</t>
  </si>
  <si>
    <t>SKU_00014</t>
  </si>
  <si>
    <t>Flavour 3: Mini FLAVOR_19!</t>
  </si>
  <si>
    <t>DESC_SKU_00014</t>
  </si>
  <si>
    <t>DETAILS FOR REGULAR CHIPS AHOY!</t>
  </si>
  <si>
    <t>Scenario 1</t>
  </si>
  <si>
    <t>Production Multipack</t>
  </si>
  <si>
    <t>Versions</t>
  </si>
  <si>
    <t>Details</t>
  </si>
  <si>
    <t>Resourse</t>
  </si>
  <si>
    <t>Oven Speed</t>
  </si>
  <si>
    <t>Productivity Kg/shift</t>
  </si>
  <si>
    <t>Update 25.08</t>
  </si>
  <si>
    <t>variations KG/Shift</t>
  </si>
  <si>
    <t>V1</t>
  </si>
  <si>
    <t>MULTIPACK</t>
  </si>
  <si>
    <t>60 rpm</t>
  </si>
  <si>
    <t>Scenario 2</t>
  </si>
  <si>
    <t>Production Multipack &amp; Slug</t>
  </si>
  <si>
    <t>V2</t>
  </si>
  <si>
    <t>SLUG</t>
  </si>
  <si>
    <t>LINE_D</t>
  </si>
  <si>
    <t>DETAILS FOR GRANEL MINI OREO</t>
  </si>
  <si>
    <t>Production Granel</t>
  </si>
  <si>
    <t>This SFG send to Central Bugger (packaging machine)</t>
  </si>
  <si>
    <t>GRANEL</t>
  </si>
  <si>
    <t>DETAILS FOR GRANEL MINI CHIPS AHOY!</t>
  </si>
  <si>
    <t>No change</t>
  </si>
  <si>
    <t>internal calculation</t>
  </si>
  <si>
    <t>Line Speed</t>
  </si>
  <si>
    <t>Produced Per</t>
  </si>
  <si>
    <t>GROUP_006</t>
  </si>
  <si>
    <t>Samartha's Notes</t>
  </si>
  <si>
    <t>Chip Ahoy! Slug formart (RES_035) must not be mixed with Vanilla Slug (RES_038). (They share the same staff.)</t>
  </si>
  <si>
    <t>FLAVOR_19</t>
  </si>
  <si>
    <t>111gr</t>
  </si>
  <si>
    <t>W20 is line 2's Slug Machine</t>
  </si>
  <si>
    <t>W25 is line 6's Slug Machine</t>
  </si>
  <si>
    <t>Group 1</t>
  </si>
  <si>
    <t>Vainilla Slug</t>
  </si>
  <si>
    <t>Proxy_Slug-LOC001</t>
  </si>
  <si>
    <t>Group 2</t>
  </si>
  <si>
    <t>FLAVOR_19 Slug</t>
  </si>
  <si>
    <t>Max Group</t>
  </si>
  <si>
    <t>LINE_E</t>
  </si>
  <si>
    <t>Flavour 8: VAINILLA</t>
  </si>
  <si>
    <t>SKU_00249</t>
  </si>
  <si>
    <t>DESC_SKU_00249</t>
  </si>
  <si>
    <t>RES_038</t>
  </si>
  <si>
    <t>Group 3</t>
  </si>
  <si>
    <t>07, 23</t>
  </si>
  <si>
    <t>Central bagger Slug</t>
  </si>
  <si>
    <t>Resourse 07, 23 and 25 (Vainilla Slug – L6) share the same staff. They cannot be produced in parallel.</t>
  </si>
  <si>
    <t>LINE_F resources cannot be used simultaneously with the Vanilla Slug resource (RES_038). The Vanilla Slug resource takes priority.</t>
  </si>
  <si>
    <t>LINE_F</t>
  </si>
  <si>
    <t>Mini CA!</t>
  </si>
  <si>
    <t>RES_031</t>
  </si>
  <si>
    <t>FLAVOR_22 / Crumbs</t>
  </si>
  <si>
    <t>RES_036</t>
  </si>
  <si>
    <t>Mother</t>
  </si>
  <si>
    <t>Child</t>
  </si>
  <si>
    <t>Resource consumed per unit(hrs)</t>
  </si>
  <si>
    <t>BOM consumed per ratio (for coproduct)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</si>
</sst>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* #,##0.00_-;\-* #,##0.00_-;_-* \-??_-;_-@_-"/>
    <numFmt numFmtId="165" formatCode="000000000000000000"/>
    <numFmt numFmtId="166" formatCode="0.0000000"/>
    <numFmt numFmtId="167" formatCode="_-* #,##0_-;\-* #,##0_-;_-* \-??_-;_-@_-"/>
    <numFmt numFmtId="168" formatCode="#,##0.0"/>
    <numFmt numFmtId="169" formatCode="0.000"/>
    <numFmt numFmtId="170" formatCode="_-* #,##0.000_-;\-* #,##0.000_-;_-* \-??_-;_-@_-"/>
  </numFmts>
  <fonts count="21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  <font>
      <b/>
      <sz val="12"/>
      <color rgb="FF000000"/>
      <name val="Arial"/>
      <family val="2"/>
      <charset val="1"/>
    </font>
    <font>
      <sz val="9"/>
      <color rgb="FF000000"/>
      <name val="Arial"/>
      <family val="2"/>
      <charset val="1"/>
    </font>
    <font>
      <b/>
      <sz val="9"/>
      <color rgb="FF000000"/>
      <name val="Arial"/>
      <family val="2"/>
      <charset val="1"/>
    </font>
    <font>
      <b/>
      <sz val="11"/>
      <color theme="0"/>
      <name val="Calibri"/>
      <family val="2"/>
      <charset val="1"/>
    </font>
    <font>
      <sz val="11"/>
      <color theme="0"/>
      <name val="Calibri"/>
      <family val="2"/>
      <charset val="1"/>
    </font>
    <font>
      <b/>
      <sz val="11"/>
      <color theme="1"/>
      <name val="Calibri"/>
      <family val="2"/>
      <charset val="1"/>
    </font>
    <font>
      <b/>
      <i/>
      <sz val="11"/>
      <color theme="1"/>
      <name val="Calibri"/>
      <family val="2"/>
      <charset val="1"/>
    </font>
    <font>
      <b/>
      <sz val="12"/>
      <color rgb="FFFFFFFF"/>
      <name val="Arial"/>
      <family val="2"/>
      <charset val="1"/>
    </font>
    <font>
      <sz val="10"/>
      <name val="Arial"/>
      <family val="2"/>
      <charset val="1"/>
    </font>
    <font>
      <b/>
      <sz val="11"/>
      <color rgb="FFC00000"/>
      <name val="Calibri"/>
      <family val="2"/>
      <charset val="1"/>
    </font>
    <font>
      <b/>
      <sz val="11"/>
      <color rgb="FF0066FF"/>
      <name val="Calibri"/>
      <family val="2"/>
      <charset val="1"/>
    </font>
    <font>
      <b/>
      <sz val="11"/>
      <name val="Calibri"/>
      <family val="2"/>
      <charset val="1"/>
    </font>
    <font>
      <b/>
      <sz val="14"/>
      <color theme="1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rgb="FF242424"/>
      <name val="Aptos Narrow"/>
      <family val="2"/>
      <charset val="1"/>
    </font>
    <font>
      <sz val="11"/>
      <name val="Calibri"/>
      <family val="2"/>
      <charset val="1"/>
    </font>
    <font>
      <sz val="10"/>
      <name val="Arial"/>
      <family val="2"/>
    </font>
    <font>
      <sz val="9"/>
      <color rgb="FF000000"/>
      <name val="Arial"/>
      <family val="2"/>
    </font>
    <font>
      <b/>
      <sz val="12"/>
      <color rgb="FFFFFFFF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theme="4" tint="0.79989013336588644"/>
        <bgColor rgb="FFDEEBF7"/>
      </patternFill>
    </fill>
    <fill>
      <patternFill patternType="solid">
        <fgColor theme="5" tint="0.79989013336588644"/>
        <bgColor rgb="FFFFF2CC"/>
      </patternFill>
    </fill>
    <fill>
      <patternFill patternType="solid">
        <fgColor theme="7" tint="0.79989013336588644"/>
        <bgColor rgb="FFFFFFCC"/>
      </patternFill>
    </fill>
    <fill>
      <patternFill patternType="solid">
        <fgColor theme="9" tint="0.79989013336588644"/>
        <bgColor rgb="FFDEEBF7"/>
      </patternFill>
    </fill>
    <fill>
      <patternFill patternType="solid">
        <fgColor rgb="FF006EDA"/>
        <bgColor rgb="FF4472C4"/>
      </patternFill>
    </fill>
    <fill>
      <patternFill patternType="solid">
        <fgColor rgb="FF44546A"/>
        <bgColor rgb="FF353333"/>
      </patternFill>
    </fill>
    <fill>
      <patternFill patternType="solid">
        <fgColor rgb="FFFF0000"/>
        <bgColor rgb="FFBE0000"/>
      </patternFill>
    </fill>
    <fill>
      <patternFill patternType="solid">
        <fgColor theme="5" tint="0.59987182226020086"/>
        <bgColor rgb="FFFFCC99"/>
      </patternFill>
    </fill>
    <fill>
      <patternFill patternType="solid">
        <fgColor rgb="FF8FCE4F"/>
        <bgColor rgb="FFA9D18E"/>
      </patternFill>
    </fill>
    <fill>
      <patternFill patternType="solid">
        <fgColor rgb="FFCCCCFF"/>
        <bgColor rgb="FFBDD7EE"/>
      </patternFill>
    </fill>
    <fill>
      <patternFill patternType="solid">
        <fgColor theme="0"/>
        <bgColor rgb="FFF5F5F5"/>
      </patternFill>
    </fill>
    <fill>
      <patternFill patternType="solid">
        <fgColor rgb="FF44546A"/>
        <bgColor indexed="64"/>
      </patternFill>
    </fill>
    <fill>
      <patternFill patternType="solid">
        <fgColor rgb="FFFF0000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164" fontId="1" fillId="0" borderId="0"/>
    <xf numFmtId="0" fontId="1" fillId="0" borderId="0"/>
  </cellStyleXfs>
  <cellXfs count="106">
    <xf numFmtId="0" fontId="0" fillId="0" borderId="0" xfId="0"/>
    <xf numFmtId="0" fontId="2" fillId="0" borderId="0" xfId="2" applyFont="1" applyAlignment="1">
      <alignment vertical="center"/>
    </xf>
    <xf numFmtId="0" fontId="3" fillId="0" borderId="0" xfId="2" applyFont="1" applyAlignment="1">
      <alignment vertical="center"/>
    </xf>
    <xf numFmtId="0" fontId="3" fillId="0" borderId="0" xfId="2" applyFont="1" applyAlignment="1">
      <alignment horizontal="right" vertical="center"/>
    </xf>
    <xf numFmtId="0" fontId="0" fillId="0" borderId="0" xfId="2" applyFont="1" applyAlignment="1">
      <alignment horizontal="center"/>
    </xf>
    <xf numFmtId="0" fontId="3" fillId="0" borderId="1" xfId="2" applyFont="1" applyBorder="1" applyAlignment="1">
      <alignment vertical="center"/>
    </xf>
    <xf numFmtId="0" fontId="3" fillId="0" borderId="2" xfId="2" applyFont="1" applyBorder="1" applyAlignment="1">
      <alignment vertical="center"/>
    </xf>
    <xf numFmtId="0" fontId="4" fillId="0" borderId="2" xfId="2" applyFont="1" applyBorder="1" applyAlignment="1">
      <alignment horizontal="right" vertical="center"/>
    </xf>
    <xf numFmtId="0" fontId="4" fillId="0" borderId="3" xfId="2" applyFont="1" applyBorder="1" applyAlignment="1">
      <alignment vertical="center"/>
    </xf>
    <xf numFmtId="0" fontId="4" fillId="0" borderId="2" xfId="2" applyFont="1" applyBorder="1" applyAlignment="1">
      <alignment horizontal="center" vertical="center"/>
    </xf>
    <xf numFmtId="0" fontId="4" fillId="0" borderId="3" xfId="2" applyFont="1" applyBorder="1" applyAlignment="1">
      <alignment horizontal="center" vertical="center"/>
    </xf>
    <xf numFmtId="0" fontId="3" fillId="0" borderId="4" xfId="2" applyFont="1" applyBorder="1" applyAlignment="1">
      <alignment vertical="center"/>
    </xf>
    <xf numFmtId="0" fontId="4" fillId="0" borderId="0" xfId="2" applyFont="1" applyAlignment="1">
      <alignment horizontal="center" vertical="center"/>
    </xf>
    <xf numFmtId="0" fontId="4" fillId="0" borderId="5" xfId="2" applyFont="1" applyBorder="1" applyAlignment="1">
      <alignment horizontal="center" vertical="center"/>
    </xf>
    <xf numFmtId="0" fontId="3" fillId="0" borderId="6" xfId="2" applyFont="1" applyBorder="1" applyAlignment="1">
      <alignment vertical="center"/>
    </xf>
    <xf numFmtId="0" fontId="3" fillId="0" borderId="7" xfId="2" applyFont="1" applyBorder="1" applyAlignment="1">
      <alignment vertical="center"/>
    </xf>
    <xf numFmtId="0" fontId="4" fillId="2" borderId="7" xfId="2" applyFont="1" applyFill="1" applyBorder="1" applyAlignment="1">
      <alignment horizontal="center" vertical="center"/>
    </xf>
    <xf numFmtId="0" fontId="4" fillId="2" borderId="8" xfId="2" applyFont="1" applyFill="1" applyBorder="1" applyAlignment="1">
      <alignment horizontal="center" vertical="center"/>
    </xf>
    <xf numFmtId="0" fontId="4" fillId="0" borderId="1" xfId="2" applyFont="1" applyBorder="1" applyAlignment="1">
      <alignment horizontal="right" vertical="center"/>
    </xf>
    <xf numFmtId="0" fontId="4" fillId="0" borderId="9" xfId="2" applyFont="1" applyBorder="1" applyAlignment="1">
      <alignment vertical="center" wrapText="1"/>
    </xf>
    <xf numFmtId="0" fontId="3" fillId="3" borderId="2" xfId="2" applyFont="1" applyFill="1" applyBorder="1" applyAlignment="1">
      <alignment vertical="center"/>
    </xf>
    <xf numFmtId="165" fontId="4" fillId="3" borderId="2" xfId="1" applyNumberFormat="1" applyFont="1" applyFill="1" applyBorder="1" applyAlignment="1">
      <alignment horizontal="right" vertical="center"/>
    </xf>
    <xf numFmtId="0" fontId="3" fillId="3" borderId="3" xfId="2" applyFont="1" applyFill="1" applyBorder="1" applyAlignment="1">
      <alignment vertical="center"/>
    </xf>
    <xf numFmtId="0" fontId="0" fillId="0" borderId="10" xfId="2" applyFont="1" applyBorder="1"/>
    <xf numFmtId="0" fontId="4" fillId="0" borderId="4" xfId="2" applyFont="1" applyBorder="1" applyAlignment="1">
      <alignment horizontal="right" vertical="center"/>
    </xf>
    <xf numFmtId="0" fontId="4" fillId="0" borderId="11" xfId="2" applyFont="1" applyBorder="1" applyAlignment="1">
      <alignment vertical="center" wrapText="1"/>
    </xf>
    <xf numFmtId="0" fontId="3" fillId="3" borderId="0" xfId="2" applyFont="1" applyFill="1" applyAlignment="1">
      <alignment vertical="center"/>
    </xf>
    <xf numFmtId="165" fontId="4" fillId="3" borderId="0" xfId="1" applyNumberFormat="1" applyFont="1" applyFill="1" applyAlignment="1">
      <alignment horizontal="right" vertical="center"/>
    </xf>
    <xf numFmtId="0" fontId="3" fillId="3" borderId="5" xfId="2" applyFont="1" applyFill="1" applyBorder="1" applyAlignment="1">
      <alignment vertical="center"/>
    </xf>
    <xf numFmtId="0" fontId="3" fillId="4" borderId="0" xfId="2" applyFont="1" applyFill="1" applyAlignment="1">
      <alignment vertical="center"/>
    </xf>
    <xf numFmtId="165" fontId="4" fillId="4" borderId="0" xfId="1" applyNumberFormat="1" applyFont="1" applyFill="1" applyAlignment="1">
      <alignment horizontal="right" vertical="center"/>
    </xf>
    <xf numFmtId="0" fontId="3" fillId="4" borderId="5" xfId="2" applyFont="1" applyFill="1" applyBorder="1" applyAlignment="1">
      <alignment vertical="center"/>
    </xf>
    <xf numFmtId="0" fontId="4" fillId="0" borderId="6" xfId="2" applyFont="1" applyBorder="1" applyAlignment="1">
      <alignment horizontal="right" vertical="center"/>
    </xf>
    <xf numFmtId="0" fontId="4" fillId="0" borderId="12" xfId="2" applyFont="1" applyBorder="1" applyAlignment="1">
      <alignment vertical="center" wrapText="1"/>
    </xf>
    <xf numFmtId="0" fontId="3" fillId="4" borderId="7" xfId="2" applyFont="1" applyFill="1" applyBorder="1" applyAlignment="1">
      <alignment vertical="center"/>
    </xf>
    <xf numFmtId="165" fontId="4" fillId="4" borderId="7" xfId="1" applyNumberFormat="1" applyFont="1" applyFill="1" applyBorder="1" applyAlignment="1">
      <alignment horizontal="right" vertical="center"/>
    </xf>
    <xf numFmtId="0" fontId="3" fillId="4" borderId="8" xfId="2" applyFont="1" applyFill="1" applyBorder="1" applyAlignment="1">
      <alignment vertical="center"/>
    </xf>
    <xf numFmtId="0" fontId="4" fillId="0" borderId="14" xfId="2" applyFont="1" applyBorder="1" applyAlignment="1">
      <alignment horizontal="right" vertical="center"/>
    </xf>
    <xf numFmtId="0" fontId="4" fillId="0" borderId="15" xfId="2" applyFont="1" applyBorder="1" applyAlignment="1">
      <alignment vertical="center" wrapText="1"/>
    </xf>
    <xf numFmtId="0" fontId="3" fillId="5" borderId="13" xfId="2" applyFont="1" applyFill="1" applyBorder="1" applyAlignment="1">
      <alignment vertical="center"/>
    </xf>
    <xf numFmtId="165" fontId="4" fillId="5" borderId="13" xfId="1" applyNumberFormat="1" applyFont="1" applyFill="1" applyBorder="1" applyAlignment="1">
      <alignment horizontal="right" vertical="center"/>
    </xf>
    <xf numFmtId="0" fontId="3" fillId="5" borderId="16" xfId="2" applyFont="1" applyFill="1" applyBorder="1" applyAlignment="1">
      <alignment vertical="center"/>
    </xf>
    <xf numFmtId="0" fontId="4" fillId="0" borderId="0" xfId="2" applyFont="1" applyAlignment="1">
      <alignment horizontal="left" vertical="center"/>
    </xf>
    <xf numFmtId="0" fontId="3" fillId="5" borderId="7" xfId="2" applyFont="1" applyFill="1" applyBorder="1" applyAlignment="1">
      <alignment vertical="center"/>
    </xf>
    <xf numFmtId="165" fontId="4" fillId="5" borderId="7" xfId="1" applyNumberFormat="1" applyFont="1" applyFill="1" applyBorder="1" applyAlignment="1">
      <alignment horizontal="right" vertical="center"/>
    </xf>
    <xf numFmtId="0" fontId="3" fillId="5" borderId="8" xfId="2" applyFont="1" applyFill="1" applyBorder="1" applyAlignment="1">
      <alignment vertical="center"/>
    </xf>
    <xf numFmtId="166" fontId="0" fillId="0" borderId="0" xfId="2" applyNumberFormat="1" applyFont="1"/>
    <xf numFmtId="167" fontId="1" fillId="0" borderId="0" xfId="1" applyNumberFormat="1"/>
    <xf numFmtId="0" fontId="4" fillId="0" borderId="0" xfId="2" applyFont="1" applyAlignment="1">
      <alignment horizontal="right" vertical="center"/>
    </xf>
    <xf numFmtId="0" fontId="4" fillId="0" borderId="0" xfId="2" applyFont="1" applyAlignment="1">
      <alignment vertical="center" wrapText="1"/>
    </xf>
    <xf numFmtId="164" fontId="1" fillId="0" borderId="0" xfId="1"/>
    <xf numFmtId="0" fontId="5" fillId="6" borderId="0" xfId="2" applyFont="1" applyFill="1"/>
    <xf numFmtId="0" fontId="6" fillId="6" borderId="0" xfId="2" applyFont="1" applyFill="1"/>
    <xf numFmtId="0" fontId="0" fillId="0" borderId="0" xfId="2" applyFont="1" applyAlignment="1">
      <alignment horizontal="right"/>
    </xf>
    <xf numFmtId="0" fontId="7" fillId="0" borderId="17" xfId="2" applyFont="1" applyBorder="1"/>
    <xf numFmtId="0" fontId="8" fillId="0" borderId="17" xfId="2" applyFont="1" applyBorder="1"/>
    <xf numFmtId="0" fontId="0" fillId="0" borderId="17" xfId="2" applyFont="1" applyBorder="1"/>
    <xf numFmtId="0" fontId="0" fillId="0" borderId="17" xfId="2" applyFont="1" applyBorder="1" applyAlignment="1">
      <alignment horizontal="right"/>
    </xf>
    <xf numFmtId="0" fontId="9" fillId="7" borderId="0" xfId="2" applyFont="1" applyFill="1" applyAlignment="1">
      <alignment horizontal="center" vertical="center" wrapText="1"/>
    </xf>
    <xf numFmtId="0" fontId="9" fillId="7" borderId="0" xfId="2" applyFont="1" applyFill="1" applyAlignment="1">
      <alignment horizontal="right" vertical="center" wrapText="1"/>
    </xf>
    <xf numFmtId="0" fontId="9" fillId="8" borderId="0" xfId="2" applyFont="1" applyFill="1" applyAlignment="1">
      <alignment horizontal="center" vertical="center" wrapText="1"/>
    </xf>
    <xf numFmtId="168" fontId="10" fillId="2" borderId="0" xfId="2" applyNumberFormat="1" applyFont="1" applyFill="1"/>
    <xf numFmtId="168" fontId="7" fillId="2" borderId="0" xfId="2" applyNumberFormat="1" applyFont="1" applyFill="1" applyAlignment="1">
      <alignment vertical="center"/>
    </xf>
    <xf numFmtId="168" fontId="7" fillId="2" borderId="0" xfId="2" applyNumberFormat="1" applyFont="1" applyFill="1" applyAlignment="1">
      <alignment horizontal="right" vertical="center"/>
    </xf>
    <xf numFmtId="168" fontId="0" fillId="2" borderId="0" xfId="2" applyNumberFormat="1" applyFont="1" applyFill="1" applyAlignment="1">
      <alignment horizontal="center" vertical="center"/>
    </xf>
    <xf numFmtId="168" fontId="0" fillId="2" borderId="0" xfId="2" applyNumberFormat="1" applyFont="1" applyFill="1" applyAlignment="1">
      <alignment horizontal="right" vertical="center"/>
    </xf>
    <xf numFmtId="168" fontId="11" fillId="0" borderId="0" xfId="2" applyNumberFormat="1" applyFont="1" applyAlignment="1">
      <alignment horizontal="center"/>
    </xf>
    <xf numFmtId="3" fontId="0" fillId="0" borderId="0" xfId="2" applyNumberFormat="1" applyFont="1"/>
    <xf numFmtId="0" fontId="0" fillId="0" borderId="17" xfId="2" applyFont="1" applyBorder="1" applyAlignment="1">
      <alignment horizontal="center"/>
    </xf>
    <xf numFmtId="168" fontId="0" fillId="2" borderId="0" xfId="2" applyNumberFormat="1" applyFont="1" applyFill="1" applyAlignment="1">
      <alignment horizontal="right" vertical="top"/>
    </xf>
    <xf numFmtId="168" fontId="10" fillId="9" borderId="0" xfId="2" applyNumberFormat="1" applyFont="1" applyFill="1"/>
    <xf numFmtId="168" fontId="7" fillId="9" borderId="0" xfId="2" applyNumberFormat="1" applyFont="1" applyFill="1" applyAlignment="1">
      <alignment vertical="center"/>
    </xf>
    <xf numFmtId="168" fontId="7" fillId="9" borderId="0" xfId="2" applyNumberFormat="1" applyFont="1" applyFill="1" applyAlignment="1">
      <alignment horizontal="right" vertical="center"/>
    </xf>
    <xf numFmtId="168" fontId="0" fillId="9" borderId="0" xfId="2" applyNumberFormat="1" applyFont="1" applyFill="1" applyAlignment="1">
      <alignment horizontal="center" vertical="center"/>
    </xf>
    <xf numFmtId="168" fontId="0" fillId="9" borderId="0" xfId="2" applyNumberFormat="1" applyFont="1" applyFill="1" applyAlignment="1">
      <alignment horizontal="right" vertical="top"/>
    </xf>
    <xf numFmtId="169" fontId="0" fillId="10" borderId="0" xfId="2" applyNumberFormat="1" applyFont="1" applyFill="1"/>
    <xf numFmtId="0" fontId="7" fillId="0" borderId="0" xfId="2" applyFont="1"/>
    <xf numFmtId="0" fontId="10" fillId="2" borderId="0" xfId="2" applyFont="1" applyFill="1"/>
    <xf numFmtId="168" fontId="12" fillId="2" borderId="0" xfId="2" applyNumberFormat="1" applyFont="1" applyFill="1" applyAlignment="1">
      <alignment horizontal="right" vertical="center"/>
    </xf>
    <xf numFmtId="3" fontId="0" fillId="2" borderId="0" xfId="2" applyNumberFormat="1" applyFont="1" applyFill="1" applyAlignment="1">
      <alignment horizontal="right" vertical="center"/>
    </xf>
    <xf numFmtId="167" fontId="11" fillId="0" borderId="0" xfId="2" applyNumberFormat="1" applyFont="1" applyAlignment="1">
      <alignment horizontal="center"/>
    </xf>
    <xf numFmtId="167" fontId="13" fillId="0" borderId="0" xfId="2" applyNumberFormat="1" applyFont="1" applyAlignment="1">
      <alignment horizontal="center"/>
    </xf>
    <xf numFmtId="0" fontId="14" fillId="0" borderId="0" xfId="2" applyFont="1" applyAlignment="1">
      <alignment horizontal="left"/>
    </xf>
    <xf numFmtId="0" fontId="4" fillId="0" borderId="15" xfId="2" applyFont="1" applyBorder="1" applyAlignment="1">
      <alignment horizontal="right" vertical="center" wrapText="1"/>
    </xf>
    <xf numFmtId="0" fontId="15" fillId="0" borderId="0" xfId="2" applyFont="1"/>
    <xf numFmtId="1" fontId="7" fillId="11" borderId="10" xfId="2" applyNumberFormat="1" applyFont="1" applyFill="1" applyBorder="1" applyAlignment="1">
      <alignment horizontal="center" vertical="center"/>
    </xf>
    <xf numFmtId="1" fontId="7" fillId="11" borderId="10" xfId="2" applyNumberFormat="1" applyFont="1" applyFill="1" applyBorder="1" applyAlignment="1">
      <alignment vertical="top"/>
    </xf>
    <xf numFmtId="1" fontId="7" fillId="11" borderId="10" xfId="2" applyNumberFormat="1" applyFont="1" applyFill="1" applyBorder="1" applyAlignment="1">
      <alignment horizontal="center" vertical="top"/>
    </xf>
    <xf numFmtId="170" fontId="7" fillId="11" borderId="10" xfId="1" applyNumberFormat="1" applyFont="1" applyFill="1" applyBorder="1" applyAlignment="1">
      <alignment horizontal="center" vertical="top"/>
    </xf>
    <xf numFmtId="0" fontId="0" fillId="0" borderId="0" xfId="2" applyFont="1" applyAlignment="1">
      <alignment horizontal="left"/>
    </xf>
    <xf numFmtId="0" fontId="0" fillId="0" borderId="10" xfId="2" applyFont="1" applyBorder="1" applyAlignment="1">
      <alignment horizontal="center"/>
    </xf>
    <xf numFmtId="0" fontId="16" fillId="0" borderId="10" xfId="2" applyFont="1" applyBorder="1"/>
    <xf numFmtId="1" fontId="0" fillId="0" borderId="10" xfId="2" applyNumberFormat="1" applyFont="1" applyBorder="1"/>
    <xf numFmtId="0" fontId="0" fillId="0" borderId="10" xfId="2" applyFont="1" applyBorder="1" applyAlignment="1">
      <alignment horizontal="right"/>
    </xf>
    <xf numFmtId="1" fontId="0" fillId="0" borderId="0" xfId="2" applyNumberFormat="1" applyFont="1"/>
    <xf numFmtId="0" fontId="17" fillId="0" borderId="0" xfId="2" applyFont="1"/>
    <xf numFmtId="0" fontId="4" fillId="12" borderId="7" xfId="2" applyFont="1" applyFill="1" applyBorder="1" applyAlignment="1">
      <alignment horizontal="center" vertical="center"/>
    </xf>
    <xf numFmtId="0" fontId="4" fillId="12" borderId="8" xfId="2" applyFont="1" applyFill="1" applyBorder="1" applyAlignment="1">
      <alignment horizontal="center" vertical="center"/>
    </xf>
    <xf numFmtId="0" fontId="19" fillId="0" borderId="10" xfId="0" applyFont="1" applyBorder="1" applyAlignment="1">
      <alignment horizontal="right" vertical="center"/>
    </xf>
    <xf numFmtId="0" fontId="20" fillId="13" borderId="0" xfId="0" applyFont="1" applyFill="1" applyAlignment="1">
      <alignment horizontal="right" vertical="center" wrapText="1"/>
    </xf>
    <xf numFmtId="166" fontId="0" fillId="0" borderId="0" xfId="0" applyNumberFormat="1"/>
    <xf numFmtId="169" fontId="0" fillId="0" borderId="0" xfId="0" applyNumberFormat="1"/>
    <xf numFmtId="0" fontId="20" fillId="14" borderId="0" xfId="0" applyFont="1" applyFill="1" applyAlignment="1">
      <alignment horizontal="center" vertical="center" wrapText="1"/>
    </xf>
    <xf numFmtId="3" fontId="0" fillId="0" borderId="0" xfId="0" applyNumberFormat="1"/>
    <xf numFmtId="0" fontId="20" fillId="13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</cellXfs>
  <cellStyles count="3">
    <cellStyle name="Comma" xfId="1" builtinId="3"/>
    <cellStyle name="Comma 27 2 4 2" xfId="2" xr:uid="{4804F0A5-A6AB-4A1D-86A9-5CD0F41E0E81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" Type="http://schemas.openxmlformats.org/officeDocument/2006/relationships/externalLink" Target="externalLinks/externalLink2.xml"/><Relationship Id="rId21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calcChain" Target="calcChain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List_products_Plant_Lima_Rates_SCRUBBED.xlsx" TargetMode="External"/><Relationship Id="rId2" Type="http://schemas.openxmlformats.org/officeDocument/2006/relationships/externalLinkPath" Target="https://myoffice.accenture.com/personal/anup_upasani_accenture_com/Documents/Documents/2026/Mondelez/SV/Solver%20input%20data%20validation/Scrubbed/scrubbed_data_V6/List_products_Plant_Lima_Rates_SCRUBBED.xlsx" TargetMode="External"/><Relationship Id="rId1" Type="http://schemas.openxmlformats.org/officeDocument/2006/relationships/externalLinkPath" Target="/personal/anup_upasani_accenture_com/Documents/Documents/2026/Mondelez/SV/Solver%20input%20data%20validation/Scrubbed/scrubbed_data_V6/List_products_Plant_Lima_Rates_SCRUBBE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ydrive.mdlz.com/Users/ONICHO/Documents/A3%20KPI's@1@/KPI/Indicadores%20YTD%20Planta%20Lima/2013/P10%20-%20KPIs%20YTD%20201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PAABS01\readers\Backups\DATA\EXDATA\CPEXPER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C:/Users/Lvillareal/Documents/01%20C2S/2015/Control%20PT.xlsx" TargetMode="External"/><Relationship Id="rId1" Type="http://schemas.openxmlformats.org/officeDocument/2006/relationships/externalLinkPath" Target="/personal/anup_upasani_accenture_com/Documents/Documents/2026/Mondelez/SV/Solver%20input%20data%20validation/Scrubbed/C:/Users/Lvillareal/Documents/01%20C2S/2015/Control%20PT.xlsx" TargetMode="External"/></Relationships>
</file>

<file path=xl/externalLinks/_rels/externalLink5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C:/Users/PRF0203/Documents/Biscuit%20Category/7%20-%20BMR/LIMA%20&amp;%20MANAGUA%20BMR/Sales%20Analysis%202012%20-%202020.xlsx" TargetMode="External"/><Relationship Id="rId2" Type="http://schemas.microsoft.com/office/2019/04/relationships/externalLinkLongPath" Target="/personal/anup_upasani_accenture_com/Documents/Documents/2026/Mondelez/SV/Solver%20input%20data%20validation/Scrubbed/C:/Users/PRF0203/Documents/Biscuit%20Category/7%20-%20BMR/LIMA%20&amp;%20MANAGUA%20BMR/Sales%20Analysis%202012%20-%202020.xlsx?A65CB3DA" TargetMode="External"/><Relationship Id="rId1" Type="http://schemas.openxmlformats.org/officeDocument/2006/relationships/externalLinkPath" Target="file:///\\A65CB3DA\Sales%20Analysis%202012%20-%202020.xlsx" TargetMode="External"/></Relationships>
</file>

<file path=xl/externalLinks/_rels/externalLink6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R:/Documents%20and%20Settings/onicho/My%20Documents/A4%20Section%20Controller/Proyectos/Analisis%20de%20Capacidad/Calculo%20Capacidades%20AOP%202010%20(31513%20tons%20)%2029%2007%2009%20Norberto.xls" TargetMode="External"/><Relationship Id="rId2" Type="http://schemas.microsoft.com/office/2019/04/relationships/externalLinkLongPath" Target="/personal/anup_upasani_accenture_com/Documents/Documents/2026/Mondelez/SV/Solver%20input%20data%20validation/Scrubbed/R:/Documents%20and%20Settings/onicho/My%20Documents/A4%20Section%20Controller/Proyectos/Analisis%20de%20Capacidad/Calculo%20Capacidades%20AOP%202010%20(31513%20tons%20)%2029%2007%2009%20Norberto.xls?EBFEFCA0" TargetMode="External"/><Relationship Id="rId1" Type="http://schemas.openxmlformats.org/officeDocument/2006/relationships/externalLinkPath" Target="file:///\\EBFEFCA0\Calculo%20Capacidades%20AOP%202010%20(31513%20tons%20)%2029%2007%2009%20Norberto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ydrive.mdlz.com/Documents%20and%20Settings/onicho/My%20Documents/A3%20KPI's/KPI/Production%20Compliance/2010/Reporte%20PC%20Lima/PC%20Lima%20Planta%202010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ydrive.mdlz.com/KPI's%20Planta%20Lima/Resultados%20de%20planta/RESULTADOS%202003/Waterfall%202003/P12%20-%20Waterfall%20Nov%202003%20by%20line%20-%20Lima%20Plant.xls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W:/jdm/PPTO%202005/PP2005.xls" TargetMode="External"/><Relationship Id="rId1" Type="http://schemas.openxmlformats.org/officeDocument/2006/relationships/externalLinkPath" Target="/personal/anup_upasani_accenture_com/Documents/Documents/2026/Mondelez/SV/Solver%20input%20data%20validation/Scrubbed/W:/jdm/PPTO%202005/PP2005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ydrive.mdlz.com/Users/BJT1239/Desktop/LIC/Portfolio/Waccam%20%20Mexico%20Menu%20Card%20apr2015.xlsx" TargetMode="External"/></Relationships>
</file>

<file path=xl/externalLinks/_rels/externalLink1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E:/Documents%20and%20Settings/kesdo00/Local%20Settings/Temporary%20Internet%20Files/OLK1E7/Q1KFT-ALT-2.xls" TargetMode="External"/><Relationship Id="rId2" Type="http://schemas.microsoft.com/office/2019/04/relationships/externalLinkLongPath" Target="/personal/anup_upasani_accenture_com/Documents/Documents/2026/Mondelez/SV/Solver%20input%20data%20validation/Scrubbed/E:/Documents%20and%20Settings/kesdo00/Local%20Settings/Temporary%20Internet%20Files/OLK1E7/Q1KFT-ALT-2.xls?031C7E1E" TargetMode="External"/><Relationship Id="rId1" Type="http://schemas.openxmlformats.org/officeDocument/2006/relationships/externalLinkPath" Target="file:///\\031C7E1E\Q1KFT-ALT-2.xls" TargetMode="External"/></Relationships>
</file>

<file path=xl/externalLinks/_rels/externalLink1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R:/Documents%20and%20Settings/osevilla/My%20Documents/Consolidado/Proyectos%202010/Line%207/Capacidad%20de%20Linea/TEMP/PLAN%20de%20PRODNuevo.xls" TargetMode="External"/><Relationship Id="rId2" Type="http://schemas.microsoft.com/office/2019/04/relationships/externalLinkLongPath" Target="/personal/anup_upasani_accenture_com/Documents/Documents/2026/Mondelez/SV/Solver%20input%20data%20validation/Scrubbed/R:/Documents%20and%20Settings/osevilla/My%20Documents/Consolidado/Proyectos%202010/Line%207/Capacidad%20de%20Linea/TEMP/PLAN%20de%20PRODNuevo.xls?D817C06F" TargetMode="External"/><Relationship Id="rId1" Type="http://schemas.openxmlformats.org/officeDocument/2006/relationships/externalLinkPath" Target="file:///\\D817C06F\PLAN%20de%20PRODNuevo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na02\C\2RF98\OTHER\INFL2RF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ydrive.mdlz.com/KPI's%20Planta%20Lima/Resultados%20de%20planta/RESULTADOS%202005/Waterfall%202005/P01%20-%20Waterfall%20Jan%202005%20by%20line%20-%20Lima%20Plant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HQTBS08\COMMON\LAController\OB%20&amp;%20SP\OB2007\Treasury%20Template%20-%20OB07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RHQS001\Groups\MGTBOOK\03\Bases\Argentina\PMI\Efecto%20Candies%20mensual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IUSRBAPPSA\SHRDATA$\DATA\EXDATA\CPEXPER.XLS" TargetMode="External"/></Relationships>
</file>

<file path=xl/externalLinks/_rels/externalLink18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C:/Users/FHJ2135/Downloads/NetworkItem-Level-Routing-ResourceMaintenance_16-Mar-2026_03_34_46_PM.xlsx" TargetMode="External"/><Relationship Id="rId2" Type="http://schemas.microsoft.com/office/2019/04/relationships/externalLinkLongPath" Target="/personal/anup_upasani_accenture_com/Documents/Documents/2026/Mondelez/SV/Solver%20input%20data%20validation/Scrubbed/C:/Users/FHJ2135/Downloads/NetworkItem-Level-Routing-ResourceMaintenance_16-Mar-2026_03_34_46_PM.xlsx?584D8441" TargetMode="External"/><Relationship Id="rId1" Type="http://schemas.openxmlformats.org/officeDocument/2006/relationships/externalLinkPath" Target="file:///\\584D8441\NetworkItem-Level-Routing-ResourceMaintenance_16-Mar-2026_03_34_46_P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esumen"/>
      <sheetName val="LIMA (N recursos)"/>
      <sheetName val="LIMA (Man)"/>
      <sheetName val="LIMA (v2)"/>
      <sheetName val="List Skus 8373"/>
      <sheetName val="Inf L1"/>
      <sheetName val="LIMA"/>
      <sheetName val="8373 APO vs O9  (v2)"/>
      <sheetName val="8373 APO vs O9 "/>
      <sheetName val="APO FG 8373"/>
      <sheetName val="Co-producto L6"/>
      <sheetName val="Inf L1 (1)"/>
      <sheetName val="Routings L6"/>
      <sheetName val="Inf L4"/>
      <sheetName val="Inf L5"/>
      <sheetName val="Inf L2"/>
      <sheetName val="Inf L6"/>
      <sheetName val="Inf CB"/>
      <sheetName val="Rates AC"/>
      <sheetName val="Anexo L2-CB"/>
      <sheetName val="Details for line"/>
      <sheetName val="Proyectos"/>
      <sheetName val="ECC - Data Maestra"/>
      <sheetName val="ECC Lote mínimo"/>
      <sheetName val="Sequenze flavo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27">
          <cell r="G27">
            <v>5107.52159085122</v>
          </cell>
          <cell r="H27">
            <v>4188.1677044980006</v>
          </cell>
        </row>
        <row r="28">
          <cell r="H28">
            <v>919.35388635321954</v>
          </cell>
        </row>
        <row r="30">
          <cell r="H30">
            <v>5400</v>
          </cell>
        </row>
      </sheetData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Sheet4"/>
      <sheetName val="Sheet5"/>
      <sheetName val="Graficos CI"/>
      <sheetName val="Sheet8"/>
      <sheetName val="BSC Lima"/>
      <sheetName val="JAN"/>
      <sheetName val="FEB"/>
      <sheetName val="MAR"/>
      <sheetName val="I"/>
      <sheetName val="APR"/>
      <sheetName val="MAY"/>
      <sheetName val="JUN"/>
      <sheetName val="II"/>
      <sheetName val="JUL"/>
      <sheetName val="AGO"/>
      <sheetName val="SEP"/>
      <sheetName val="III"/>
      <sheetName val="OCT"/>
      <sheetName val="NOV"/>
      <sheetName val="DEC"/>
      <sheetName val="IV"/>
      <sheetName val="AÑO_2013"/>
      <sheetName val="MX Perdida"/>
      <sheetName val="Sheet1"/>
      <sheetName val="Analisis PW"/>
      <sheetName val="AÑO 2008"/>
      <sheetName val="Sheet6"/>
      <sheetName val="AÑO_2012"/>
      <sheetName val="Año_2011"/>
      <sheetName val="Rework used 2013"/>
      <sheetName val="Rework used"/>
      <sheetName val="MATCH_05vs06"/>
      <sheetName val="Sheet3"/>
      <sheetName val="AÑO_2009"/>
      <sheetName val="Bañados 2012"/>
      <sheetName val="Año 2010"/>
      <sheetName val="GRAFICOS INDICADORES"/>
      <sheetName val="Goals 2008"/>
      <sheetName val="KPI 2007"/>
      <sheetName val="Resumen Rw"/>
      <sheetName val="Indicadores Linea"/>
      <sheetName val="Menu Principal"/>
      <sheetName val="KPI´s"/>
      <sheetName val="Absenteism"/>
      <sheetName val="Overtime"/>
      <sheetName val="Safety"/>
      <sheetName val="Waterfall"/>
      <sheetName val="Prod_Vtas_ Stocks"/>
      <sheetName val="Database Waterfall"/>
      <sheetName val="OBJ 2010"/>
      <sheetName val="Rev Quarter"/>
      <sheetName val="Reporte Yield Chocolatería"/>
      <sheetName val="Reporte Yield Galletería"/>
      <sheetName val="Reporte Yield Planta"/>
      <sheetName val="Reporte PC"/>
      <sheetName val="Reporte PW"/>
      <sheetName val="SKUs"/>
      <sheetName val="Balances Acu"/>
      <sheetName val="New Graf"/>
      <sheetName val="Bañados 2010"/>
      <sheetName val="Analisis GEN"/>
      <sheetName val="Analisis L3"/>
      <sheetName val="Analisis L5"/>
      <sheetName val="Analisis L4"/>
      <sheetName val="Graficas de Yield"/>
      <sheetName val="Acum Mes 2013"/>
      <sheetName val="Productividad"/>
      <sheetName val="New Acumulado"/>
      <sheetName val="Sheet7"/>
      <sheetName val="LIST"/>
      <sheetName val="97RESULT"/>
      <sheetName val="OB Intere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PERSEDED"/>
      <sheetName val="Sheet3"/>
      <sheetName val="FINALUS$"/>
      <sheetName val="CAPERFORM"/>
      <sheetName val="CAPERFORM $"/>
      <sheetName val="IFO$"/>
      <sheetName val="Sheet1"/>
      <sheetName val="Sheet2"/>
      <sheetName val="FINALPHP"/>
      <sheetName val="Control 1999"/>
      <sheetName val="CPEXPER"/>
      <sheetName val="CH-OV"/>
      <sheetName val="FOODOR"/>
      <sheetName val="CONSUMO MAT. Y MAT. PRIMAS"/>
      <sheetName val="Control"/>
      <sheetName val="B"/>
      <sheetName val="Q"/>
      <sheetName val="AN"/>
      <sheetName val="AY"/>
      <sheetName val="H"/>
      <sheetName val="J"/>
      <sheetName val="A"/>
      <sheetName val="N"/>
      <sheetName val="AX"/>
      <sheetName val="IVA-DEC"/>
      <sheetName val="000"/>
      <sheetName val="depletion sked_exLTC"/>
      <sheetName val="PIPELINE"/>
      <sheetName val="pipe(ex-ltc)"/>
      <sheetName val="OB97LST"/>
      <sheetName val="Tables"/>
      <sheetName val="Setup"/>
      <sheetName val="Macro1"/>
      <sheetName val="Free Cash Flow Rpt "/>
      <sheetName val="Summary"/>
      <sheetName val="QC - 1a"/>
      <sheetName val="Category"/>
      <sheetName val="BU3_95"/>
      <sheetName val="PPV Chart1"/>
      <sheetName val="PPV by BU by Category"/>
      <sheetName val="BOM"/>
      <sheetName val="Account Group"/>
      <sheetName val="Country Key"/>
      <sheetName val="Language"/>
      <sheetName val="Transportation Zone"/>
      <sheetName val="KF Plants; Calendar weeks"/>
      <sheetName val="Forex"/>
      <sheetName val="YECALENDAR"/>
      <sheetName val="File Setting"/>
      <sheetName val="AM"/>
      <sheetName val="ROMI"/>
      <sheetName val="RA"/>
      <sheetName val="CAPERFORM_$"/>
      <sheetName val="Control_1999"/>
      <sheetName val="depletion_sked_exLTC"/>
      <sheetName val="CONSUMO_MAT__Y_MAT__PRIMAS"/>
      <sheetName val="QC_-_1a"/>
      <sheetName val="PPV_Chart1"/>
      <sheetName val="PPV_by_BU_by_Category"/>
      <sheetName val="Free_Cash_Flow_Rpt_"/>
      <sheetName val="KF_Plants;_Calendar_weeks"/>
      <sheetName val="File_Setting"/>
      <sheetName val="Menú"/>
      <sheetName val="TASA DE CAMBIO"/>
      <sheetName val="Cta"/>
      <sheetName val="Brand Analysis (1)"/>
      <sheetName val="KARDEX"/>
      <sheetName val="sum98bsxtm"/>
      <sheetName val="antbsxton"/>
      <sheetName val="Worksheet       (PASS WORD 650)"/>
      <sheetName val="Anex 17"/>
      <sheetName val="IPCs"/>
      <sheetName val="A-351VZL"/>
      <sheetName val="IPC"/>
      <sheetName val="calculos"/>
      <sheetName val="INPUTS"/>
      <sheetName val="impuestos trim"/>
      <sheetName val="Formulario"/>
      <sheetName val="CUENTAS POR COBRAR NO COMERCIAL"/>
      <sheetName val="B-111"/>
      <sheetName val="Cedula L (I-4´12)"/>
      <sheetName val="IAE-GILLETTE"/>
      <sheetName val="Mov. Patrimo "/>
      <sheetName val="Dados BLP"/>
      <sheetName val="RETAIL "/>
      <sheetName val="BS"/>
      <sheetName val="Dozavos IAE"/>
      <sheetName val="PMIREQ"/>
      <sheetName val="FixedCostFore"/>
      <sheetName val="BLP"/>
      <sheetName val="#¡REF"/>
      <sheetName val="OBData"/>
      <sheetName val="DB"/>
      <sheetName val="Adf par resp"/>
      <sheetName val="Lists"/>
      <sheetName val="POV"/>
      <sheetName val="Budget"/>
      <sheetName val="Tablames"/>
      <sheetName val="MES"/>
      <sheetName val="MAE_MESES"/>
      <sheetName val="Buy Group Assignments"/>
      <sheetName val="Costs by Req'd Part # 12-03-01"/>
      <sheetName val="1994FRF"/>
      <sheetName val="Nominales 19"/>
      <sheetName val="Overview"/>
      <sheetName val="UK S"/>
      <sheetName val="US$"/>
      <sheetName val="Lion Baking Powder DOM"/>
      <sheetName val="VOLUME - SOS"/>
      <sheetName val="PRICE ASSUMPTIONS DOM"/>
      <sheetName val="SUIVI EFFECTIFS"/>
      <sheetName val="EFFECT."/>
      <sheetName val="Tons"/>
      <sheetName val="tit"/>
      <sheetName val="abcd"/>
      <sheetName val="ar"/>
      <sheetName val="Vendas Tons"/>
      <sheetName val="C.Estr."/>
      <sheetName val="COSTAB97"/>
      <sheetName val="indice"/>
      <sheetName val="mixprod"/>
      <sheetName val="raf"/>
      <sheetName val="rce"/>
      <sheetName val="CAB"/>
      <sheetName val="Instr"/>
      <sheetName val="SHEET"/>
      <sheetName val="ANALYSIS"/>
      <sheetName val="PARAMETERS"/>
      <sheetName val="CAPERFORM_$1"/>
      <sheetName val="P&amp;LBANANA"/>
      <sheetName val="validation"/>
      <sheetName val="Date"/>
      <sheetName val="Costo M.P."/>
      <sheetName val="ISLR PNR"/>
      <sheetName val="Axv "/>
      <sheetName val="FLUJO EF."/>
      <sheetName val=""/>
      <sheetName val="CHWTRD"/>
      <sheetName val="(L1)"/>
      <sheetName val="(L2)"/>
      <sheetName val="(L3)"/>
      <sheetName val="(L4)"/>
      <sheetName val="(L5)"/>
      <sheetName val="(L6)"/>
      <sheetName val="(L7)"/>
      <sheetName val="(L8)"/>
      <sheetName val="(L9)"/>
      <sheetName val="纸箱需求"/>
      <sheetName val="Index"/>
      <sheetName val="Cover"/>
      <sheetName val="depletion_sked_exLTC1"/>
      <sheetName val="Control_19991"/>
      <sheetName val="Free_Cash_Flow_Rpt_1"/>
      <sheetName val="CONSUMO_MAT__Y_MAT__PRIMAS1"/>
      <sheetName val="KF_Plants;_Calendar_weeks1"/>
      <sheetName val="File_Setting1"/>
      <sheetName val="QC_-_1a1"/>
      <sheetName val="PPV_Chart11"/>
      <sheetName val="PPV_by_BU_by_Category1"/>
      <sheetName val="Account_Group"/>
      <sheetName val="Country_Key"/>
      <sheetName val="Transportation_Zone"/>
      <sheetName val="TASA_DE_CAMBIO"/>
      <sheetName val="Brand_Analysis_(1)"/>
      <sheetName val="Worksheet_______(PASS_WORD_650)"/>
      <sheetName val="Anex_17"/>
      <sheetName val="impuestos_trim"/>
      <sheetName val="CUENTAS_POR_COBRAR_NO_COMERCIAL"/>
      <sheetName val="Cedula_L_(I-4´12)"/>
      <sheetName val="Mov__Patrimo_"/>
      <sheetName val="Dados_BLP"/>
      <sheetName val="RETAIL_"/>
      <sheetName val="Dozavos_IAE"/>
      <sheetName val="Brand "/>
      <sheetName val="CAPERFORM_$2"/>
      <sheetName val="PPV_Chart12"/>
      <sheetName val="PPV_by_BU_by_Category2"/>
      <sheetName val="Control_19992"/>
      <sheetName val="depletion_sked_exLTC2"/>
      <sheetName val="CONSUMO_MAT__Y_MAT__PRIMAS2"/>
      <sheetName val="QC_-_1a2"/>
      <sheetName val="Free_Cash_Flow_Rpt_2"/>
      <sheetName val="Account_Group1"/>
      <sheetName val="Country_Key1"/>
      <sheetName val="Transportation_Zone1"/>
      <sheetName val="KF_Plants;_Calendar_weeks2"/>
      <sheetName val="File_Setting2"/>
      <sheetName val="TASA_DE_CAMBIO1"/>
      <sheetName val="Brand_Analysis_(1)1"/>
      <sheetName val="Worksheet_______(PASS_WORD_6501"/>
      <sheetName val="Anex_171"/>
      <sheetName val="impuestos_trim1"/>
      <sheetName val="CUENTAS_POR_COBRAR_NO_COMERCIA1"/>
      <sheetName val="Cedula_L_(I-4´12)1"/>
      <sheetName val="Mov__Patrimo_1"/>
      <sheetName val="Dados_BLP1"/>
      <sheetName val="RETAIL_1"/>
      <sheetName val="Dozavos_IAE1"/>
      <sheetName val="Adf_par_resp"/>
      <sheetName val="SUIVI_EFFECTIFS"/>
      <sheetName val="EFFECT_"/>
      <sheetName val="Vendas_Tons"/>
      <sheetName val="C_Estr_"/>
      <sheetName val="Lion_Baking_Powder_DOM"/>
      <sheetName val="VOLUME_-_SOS"/>
      <sheetName val="PRICE_ASSUMPTIONS_DOM"/>
      <sheetName val="Buy_Group_Assignments"/>
      <sheetName val="Costs_by_Req'd_Part_#_12-03-01"/>
      <sheetName val="Nominales_19"/>
      <sheetName val="UK_S"/>
      <sheetName val="Costo_M_P_"/>
      <sheetName val="ISLR_PNR"/>
      <sheetName val="Axv_"/>
      <sheetName val="FLUJO_EF_"/>
      <sheetName val="Brand_"/>
      <sheetName val="PRICEVARIANCE"/>
      <sheetName val="AM Q3 15 90 days Plan"/>
      <sheetName val="LIST"/>
      <sheetName val="April Financial Tracker"/>
      <sheetName val="Paros Por Falta de Material"/>
      <sheetName val="VISCOUS"/>
      <sheetName val="DATOS"/>
      <sheetName val="LE"/>
      <sheetName val="_x005f_x0000_"/>
      <sheetName val="Product Views"/>
      <sheetName val="CAPERFORM_$3"/>
      <sheetName val="Adf_par_resp1"/>
      <sheetName val="SUIVI_EFFECTIFS1"/>
      <sheetName val="EFFECT_1"/>
      <sheetName val="Vendas_Tons1"/>
      <sheetName val="C_Estr_1"/>
      <sheetName val="Lion_Baking_Powder_DOM1"/>
      <sheetName val="VOLUME_-_SOS1"/>
      <sheetName val="PRICE_ASSUMPTIONS_DOM1"/>
      <sheetName val="Buy_Group_Assignments1"/>
      <sheetName val="Costs_by_Req'd_Part_#_12-03-011"/>
      <sheetName val="Nominales_191"/>
      <sheetName val="UK_S1"/>
      <sheetName val="Costo_M_P_1"/>
      <sheetName val="ISLR_PNR1"/>
      <sheetName val="Axv_1"/>
      <sheetName val="FLUJO_EF_1"/>
      <sheetName val="SUD"/>
      <sheetName val="QC_-_1a3"/>
      <sheetName val="Control_19993"/>
      <sheetName val="PPV_Chart13"/>
      <sheetName val="PPV_by_BU_by_Category3"/>
      <sheetName val="Account_Group2"/>
      <sheetName val="Country_Key2"/>
      <sheetName val="Transportation_Zone2"/>
      <sheetName val="depletion_sked_exLTC3"/>
      <sheetName val="CONSUMO_MAT__Y_MAT__PRIMAS3"/>
      <sheetName val="Free_Cash_Flow_Rpt_3"/>
      <sheetName val="KF_Plants;_Calendar_weeks3"/>
      <sheetName val="File_Setting3"/>
      <sheetName val="TASA_DE_CAMBIO2"/>
      <sheetName val="Brand_Analysis_(1)2"/>
      <sheetName val="Worksheet_______(PASS_WORD_6502"/>
      <sheetName val="Anex_172"/>
      <sheetName val="impuestos_trim2"/>
      <sheetName val="CUENTAS_POR_COBRAR_NO_COMERCIA2"/>
      <sheetName val="Cedula_L_(I-4´12)2"/>
      <sheetName val="Mov__Patrimo_2"/>
      <sheetName val="Dados_BLP2"/>
      <sheetName val="RETAIL_2"/>
      <sheetName val="Dozavos_IAE2"/>
      <sheetName val="Brand_1"/>
      <sheetName val="AM_Q3_15_90_days_Plan"/>
      <sheetName val="Product_Views"/>
      <sheetName val="Riepilogo linee-direz BUD"/>
      <sheetName val="数据List"/>
      <sheetName val="_x005f_x005f_x005F_x0000_"/>
      <sheetName val="Month"/>
      <sheetName val="Settings"/>
      <sheetName val="Línea 1"/>
      <sheetName val="HOME"/>
      <sheetName val="CAPERFORM_$4"/>
      <sheetName val="QC_-_1a4"/>
      <sheetName val="Control_19994"/>
      <sheetName val="PPV_Chart14"/>
      <sheetName val="PPV_by_BU_by_Category4"/>
      <sheetName val="depletion_sked_exLTC4"/>
      <sheetName val="CONSUMO_MAT__Y_MAT__PRIMAS4"/>
      <sheetName val="Account_Group3"/>
      <sheetName val="Country_Key3"/>
      <sheetName val="Transportation_Zone3"/>
      <sheetName val="Free_Cash_Flow_Rpt_4"/>
      <sheetName val="KF_Plants;_Calendar_weeks4"/>
      <sheetName val="File_Setting4"/>
      <sheetName val="TASA_DE_CAMBIO3"/>
      <sheetName val="Brand_Analysis_(1)3"/>
      <sheetName val="Worksheet_______(PASS_WORD_6503"/>
      <sheetName val="Anex_173"/>
      <sheetName val="impuestos_trim3"/>
      <sheetName val="CUENTAS_POR_COBRAR_NO_COMERCIA3"/>
      <sheetName val="Cedula_L_(I-4´12)3"/>
      <sheetName val="Mov__Patrimo_3"/>
      <sheetName val="Dados_BLP3"/>
      <sheetName val="RETAIL_3"/>
      <sheetName val="Dozavos_IAE3"/>
      <sheetName val="Adf_par_resp2"/>
      <sheetName val="SUIVI_EFFECTIFS2"/>
      <sheetName val="EFFECT_2"/>
      <sheetName val="Vendas_Tons2"/>
      <sheetName val="C_Estr_2"/>
      <sheetName val="Lion_Baking_Powder_DOM2"/>
      <sheetName val="VOLUME_-_SOS2"/>
      <sheetName val="PRICE_ASSUMPTIONS_DOM2"/>
      <sheetName val="Buy_Group_Assignments2"/>
      <sheetName val="Costs_by_Req'd_Part_#_12-03-012"/>
      <sheetName val="Nominales_192"/>
      <sheetName val="UK_S2"/>
      <sheetName val="Costo_M_P_2"/>
      <sheetName val="ISLR_PNR2"/>
      <sheetName val="Axv_2"/>
      <sheetName val="FLUJO_EF_2"/>
      <sheetName val="Brand_2"/>
      <sheetName val="AM_Q3_15_90_days_Plan1"/>
      <sheetName val="Product_Views1"/>
      <sheetName val="Riepilogo_linee-direz_BUD"/>
      <sheetName val="DIOH"/>
      <sheetName val="Forecast Percent"/>
      <sheetName val="Send&amp;Retrieve"/>
      <sheetName val="_x005f_x005f_x005f_x005f_"/>
      <sheetName val="Data Setup"/>
      <sheetName val="Auditoria"/>
      <sheetName val="Service Line &amp; Service Offering"/>
      <sheetName val="xDL"/>
      <sheetName val="JANREAL"/>
      <sheetName val="97RESULT"/>
      <sheetName val="CAPERFORM_$5"/>
      <sheetName val="depletion_sked_exLTC5"/>
      <sheetName val="Control_19995"/>
      <sheetName val="CONSUMO_MAT__Y_MAT__PRIMAS5"/>
      <sheetName val="Free_Cash_Flow_Rpt_5"/>
      <sheetName val="KF_Plants;_Calendar_weeks5"/>
      <sheetName val="File_Setting5"/>
      <sheetName val="QC_-_1a5"/>
      <sheetName val="PPV_Chart15"/>
      <sheetName val="PPV_by_BU_by_Category5"/>
      <sheetName val="Account_Group4"/>
      <sheetName val="Country_Key4"/>
      <sheetName val="Transportation_Zone4"/>
      <sheetName val="Adf_par_resp3"/>
      <sheetName val="TASA_DE_CAMBIO4"/>
      <sheetName val="Brand_Analysis_(1)4"/>
      <sheetName val="Worksheet_______(PASS_WORD_6504"/>
      <sheetName val="Anex_174"/>
      <sheetName val="impuestos_trim4"/>
      <sheetName val="CUENTAS_POR_COBRAR_NO_COMERCIA4"/>
      <sheetName val="Cedula_L_(I-4´12)4"/>
      <sheetName val="Mov__Patrimo_4"/>
      <sheetName val="Dados_BLP4"/>
      <sheetName val="RETAIL_4"/>
      <sheetName val="Dozavos_IAE4"/>
      <sheetName val="SUIVI_EFFECTIFS3"/>
      <sheetName val="EFFECT_3"/>
      <sheetName val="Vendas_Tons3"/>
      <sheetName val="C_Estr_3"/>
      <sheetName val="Lion_Baking_Powder_DOM3"/>
      <sheetName val="VOLUME_-_SOS3"/>
      <sheetName val="PRICE_ASSUMPTIONS_DOM3"/>
      <sheetName val="Buy_Group_Assignments3"/>
      <sheetName val="Costs_by_Req'd_Part_#_12-03-013"/>
      <sheetName val="Nominales_193"/>
      <sheetName val="UK_S3"/>
      <sheetName val="Costo_M_P_3"/>
      <sheetName val="ISLR_PNR3"/>
      <sheetName val="Axv_3"/>
      <sheetName val="FLUJO_EF_3"/>
      <sheetName val="Brand_3"/>
      <sheetName val="AM_Q3_15_90_days_Plan2"/>
      <sheetName val="April_Financial_Tracker"/>
      <sheetName val="Paros_Por_Falta_de_Material"/>
      <sheetName val="Product_Views2"/>
      <sheetName val="Riepilogo_linee-direz_BUD1"/>
      <sheetName val="Línea_1"/>
      <sheetName val="Cost By Line"/>
      <sheetName val="BVREF"/>
      <sheetName val="US"/>
      <sheetName val="WO CONV"/>
      <sheetName val="_x0000_"/>
      <sheetName val="_x005f_x005f_x005f_x0000_"/>
      <sheetName val="_x005f_x005f_x005f_x005f_x005f_x005f_x005f_x0000_"/>
      <sheetName val="_x005f_x005f_x005f_x005f_x005f_x005f_x005f_x005f_x005f_x005f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/>
      <sheetData sheetId="128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 refreshError="1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 refreshError="1"/>
      <sheetData sheetId="216" refreshError="1"/>
      <sheetData sheetId="217" refreshError="1"/>
      <sheetData sheetId="218"/>
      <sheetData sheetId="219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 refreshError="1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 refreshError="1"/>
      <sheetData sheetId="270" refreshError="1"/>
      <sheetData sheetId="271"/>
      <sheetData sheetId="272" refreshError="1"/>
      <sheetData sheetId="273" refreshError="1"/>
      <sheetData sheetId="274" refreshError="1"/>
      <sheetData sheetId="275" refreshError="1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 refreshError="1"/>
      <sheetData sheetId="321" refreshError="1"/>
      <sheetData sheetId="322" refreshError="1"/>
      <sheetData sheetId="323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/>
      <sheetData sheetId="382" refreshError="1"/>
      <sheetData sheetId="383" refreshError="1"/>
      <sheetData sheetId="38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Formula"/>
      <sheetName val="Base PRISM"/>
      <sheetName val="DATE"/>
      <sheetName val="PN"/>
      <sheetName val="Kg x Sem - Periodo"/>
      <sheetName val="Reporte PC - Cj"/>
      <sheetName val="Reporte PC - Kg"/>
      <sheetName val="Reporte Galletas"/>
      <sheetName val="Reporte PC - Kg x turno"/>
      <sheetName val="Reporte PC - Cj turno"/>
      <sheetName val="Sheet1"/>
      <sheetName val="Sheet3"/>
      <sheetName val="sov to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3"/>
    </xxl21:alternateUrls>
    <sheetNames>
      <sheetName val="Graphs"/>
      <sheetName val="Sheet1"/>
      <sheetName val="Sheet2"/>
      <sheetName val="Consolidado"/>
      <sheetName val="2012Act"/>
      <sheetName val="2013Act"/>
      <sheetName val="2014SF"/>
      <sheetName val="otr.cred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3"/>
    </xxl21:alternateUrls>
    <sheetNames>
      <sheetName val="xxxxxx"/>
      <sheetName val="Consultas"/>
      <sheetName val="HC Chocolates"/>
      <sheetName val="HC Galletas"/>
      <sheetName val="% alma"/>
      <sheetName val="N° SKU's"/>
      <sheetName val="Kg por turno"/>
      <sheetName val="Sheet1"/>
      <sheetName val="Volumen OB 2009"/>
      <sheetName val="Shift OB 2009"/>
      <sheetName val="Wafer"/>
      <sheetName val="Enrobed 2"/>
      <sheetName val="Line 1"/>
      <sheetName val="Line 2"/>
      <sheetName val="Line 3 (prueba)"/>
      <sheetName val="Line_3"/>
      <sheetName val="Line 4"/>
      <sheetName val="Enrobed 3"/>
      <sheetName val="Oreo Wafer"/>
      <sheetName val="ROU"/>
      <sheetName val="CU Summary"/>
      <sheetName val="Consolidation OB08"/>
      <sheetName val="Graphics"/>
      <sheetName val="Tons Available by month"/>
      <sheetName val="Resumen"/>
      <sheetName val="Sheet2"/>
      <sheetName val="inventario."/>
      <sheetName val="ANALINTL"/>
      <sheetName val="FINALPHP"/>
      <sheetName val="INDUSTRIALES"/>
      <sheetName val="DAT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TD"/>
      <sheetName val="Semanal"/>
      <sheetName val="Data"/>
      <sheetName val="Codigos de Problema"/>
      <sheetName val="MAESTRO CALI"/>
      <sheetName val="Maestro Lima"/>
      <sheetName val="AÑO 2008"/>
      <sheetName val="DEC"/>
      <sheetName val="Goals 2008"/>
      <sheetName val="KPI 2007"/>
      <sheetName val="NOV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 Planta"/>
      <sheetName val="Horno 1"/>
      <sheetName val="Horno 2"/>
      <sheetName val="Horno 3"/>
      <sheetName val="Horno 4"/>
      <sheetName val="Wafer"/>
      <sheetName val="Bañadora (1)"/>
      <sheetName val="Bañadora (2)"/>
      <sheetName val="Bañadora (3)"/>
      <sheetName val="Dulceria (Latini)"/>
      <sheetName val="Dulceria (Uniplast)"/>
      <sheetName val="Marshmellows"/>
      <sheetName val="FINALPH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 2003. Eventos en  Produccion"/>
      <sheetName val="Plan Anual de Produccion 05"/>
      <sheetName val="Alcance"/>
      <sheetName val="Precios"/>
      <sheetName val="PP2005"/>
      <sheetName val="Listas"/>
      <sheetName val="Lists"/>
      <sheetName val="Control"/>
      <sheetName val="_2003__Eventos_en__Produccion"/>
      <sheetName val="Plan_Anual_de_Produccion_05"/>
      <sheetName val="DATA"/>
      <sheetName val="CTRL"/>
      <sheetName val="LIST"/>
      <sheetName val="#REF"/>
      <sheetName val="Sheet2"/>
      <sheetName val="IVA-DEC"/>
      <sheetName val="Commodities"/>
      <sheetName val="Parameters"/>
      <sheetName val="CMT retrive"/>
      <sheetName val="REST_DEC"/>
      <sheetName val="Variables"/>
      <sheetName val="MAWI"/>
      <sheetName val="SAU&amp;F"/>
      <sheetName val="S3-Discovery"/>
      <sheetName val="Centres"/>
      <sheetName val="Matrix CH"/>
      <sheetName val="MX charts detailed"/>
      <sheetName val="Feuil1"/>
      <sheetName val="FATSNF Pool Price"/>
      <sheetName val="Deviation Type"/>
      <sheetName val="Settings"/>
      <sheetName val="Steuertabellen"/>
      <sheetName val="Introduction"/>
      <sheetName val="Currency &amp; Conversions"/>
      <sheetName val="_2003__Eventos_en__Produccion1"/>
      <sheetName val="Plan_Anual_de_Produccion_051"/>
      <sheetName val="CMT_retrive"/>
      <sheetName val="Matrix_CH"/>
      <sheetName val="MX_charts_detailed"/>
      <sheetName val="Deviation_Type"/>
      <sheetName val="FATSNF_Pool_Price"/>
      <sheetName val="CARGA SWIFT"/>
      <sheetName val="SetUp"/>
      <sheetName val="otr.cred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Pivot"/>
      <sheetName val="Pivot2"/>
      <sheetName val="Complete Portfolio"/>
      <sheetName val="Data"/>
      <sheetName val="Pariticipants"/>
      <sheetName val="galleteria"/>
    </sheetNames>
    <sheetDataSet>
      <sheetData sheetId="0"/>
      <sheetData sheetId="1"/>
      <sheetData sheetId="2"/>
      <sheetData sheetId="3"/>
      <sheetData sheetId="4"/>
      <sheetData sheetId="5"/>
      <sheetData sheetId="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3"/>
    </xxl21:alternateUrls>
    <sheetNames>
      <sheetName val="PL 4 QTR"/>
      <sheetName val="QTD VOL &amp; REV"/>
      <sheetName val="QTD OCI"/>
      <sheetName val="PL YTD"/>
      <sheetName val="YTD VOL"/>
      <sheetName val="YTD Revenue"/>
      <sheetName val="YTD OCI"/>
      <sheetName val="NEW PAGE qtr"/>
      <sheetName val="EPS YR-YR"/>
      <sheetName val="BALANCE SHEET"/>
      <sheetName val="BALANCE SHEET Flux"/>
      <sheetName val="QTD Revenue"/>
      <sheetName val="PL_4_QTR"/>
      <sheetName val="QTD_VOL_&amp;_REV"/>
      <sheetName val="QTD_OCI"/>
      <sheetName val="PL_YTD"/>
      <sheetName val="YTD_VOL"/>
      <sheetName val="YTD_Revenue"/>
      <sheetName val="YTD_OCI"/>
      <sheetName val="NEW_PAGE_qtr"/>
      <sheetName val="EPS_YR-YR"/>
      <sheetName val="BALANCE_SHEET"/>
      <sheetName val="BALANCE_SHEET_Flux"/>
      <sheetName val="QTD_Revenue"/>
      <sheetName val="MONTHLY  LB"/>
      <sheetName val="1"/>
      <sheetName val="TAPA ALFAJOR"/>
      <sheetName val="BD SAP"/>
      <sheetName val="Data"/>
      <sheetName val="FERT--Simple"/>
      <sheetName val="Volumen"/>
      <sheetName val="WYVAL Output - Current Val "/>
      <sheetName val="When are you doing it - GBP"/>
      <sheetName val="download"/>
      <sheetName val="IC + CK MOUNTAIN CHART 2018"/>
      <sheetName val="L2 - CHIPS AHOY"/>
      <sheetName val="#ref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3"/>
    </xxl21:alternateUrls>
    <sheetNames>
      <sheetName val="DATOS"/>
      <sheetName val="ManodeObraRESUMEN"/>
      <sheetName val="BriefMes"/>
      <sheetName val="Ocupación+TurnosRESUMEN"/>
      <sheetName val="Ocupación+TurnosDetalle"/>
      <sheetName val="MODxLINEA"/>
      <sheetName val="BriefAño"/>
      <sheetName val="DOS"/>
      <sheetName val="Ref"/>
      <sheetName val="PT"/>
      <sheetName val="Targets"/>
      <sheetName val="MOD"/>
      <sheetName val="PLAN de PRODNuevo"/>
      <sheetName val="OTR.CRED."/>
      <sheetName val="ID"/>
      <sheetName val="#REF"/>
      <sheetName val="Worksheet       (PASS WORD 650)"/>
      <sheetName val="MCC"/>
      <sheetName val="Control 1998"/>
      <sheetName val="PDet"/>
      <sheetName val="Sheet1"/>
      <sheetName val="Sheet2"/>
      <sheetName val="PLAN_de_PRODNuevo"/>
      <sheetName val="OTR_CRED_"/>
      <sheetName val="L&amp;S Project input"/>
      <sheetName val="AP per KG (TRF)"/>
      <sheetName val="Lists Payroll HIDE"/>
      <sheetName val="key"/>
      <sheetName val="Instructions"/>
      <sheetName val="AP_per_KG_(TRF)"/>
      <sheetName val="L&amp;S_Project_input"/>
      <sheetName val="Worksheet_______(PASS_WORD_650)"/>
      <sheetName val="List"/>
      <sheetName val="TSGAR"/>
      <sheetName val="FX Rates"/>
      <sheetName val="Keys"/>
      <sheetName val="Base"/>
      <sheetName val="PLAN_de_PRODNuevo1"/>
      <sheetName val="OTR_CRED_1"/>
      <sheetName val="AP_per_KG_(TRF)1"/>
      <sheetName val="L&amp;S_Project_input1"/>
      <sheetName val="Lists_Payroll_HIDE"/>
      <sheetName val="PLAN_de_PRODNuevo2"/>
      <sheetName val="OTR_CRED_2"/>
      <sheetName val="AP_per_KG_(TRF)2"/>
      <sheetName val="L&amp;S_Project_input2"/>
      <sheetName val="Lists_Payroll_HIDE1"/>
      <sheetName val="Worksheet_______(PASS_WORD_6501"/>
      <sheetName val="Control_1998"/>
      <sheetName val="CP"/>
      <sheetName val="SOV tot"/>
      <sheetName val="Minion Table"/>
      <sheetName val="Lists HIDE"/>
      <sheetName val="CTRL"/>
      <sheetName val="Supply Cali"/>
      <sheetName val="Inventories"/>
      <sheetName val="Inventory"/>
      <sheetName val="M-20 (@ Agosto 1999)"/>
      <sheetName val="Sales Aug-20"/>
      <sheetName val="Minion_Table"/>
      <sheetName val="FX_Rates"/>
      <sheetName val="vol"/>
      <sheetName val="PLAN_de_PRODNuevo3"/>
      <sheetName val="OTR_CRED_3"/>
      <sheetName val="AP_per_KG_(TRF)3"/>
      <sheetName val="L&amp;S_Project_input3"/>
      <sheetName val="Lists_Payroll_HIDE2"/>
      <sheetName val="Worksheet_______(PASS_WORD_6502"/>
      <sheetName val="Control_19981"/>
      <sheetName val="SOV_tot"/>
      <sheetName val="Lists_HIDE"/>
      <sheetName val="HARVEST02"/>
      <sheetName val="FX_Rates1"/>
      <sheetName val="Minion_Table1"/>
      <sheetName val="Supply_Cali"/>
      <sheetName val="M-20_(@_Agosto_1999)"/>
      <sheetName val="Sales_Aug-20"/>
      <sheetName val="Variables"/>
      <sheetName val="lab paced"/>
      <sheetName val="LinkData"/>
      <sheetName val="PLAN_de_PRODNuevo4"/>
      <sheetName val="OTR_CRED_4"/>
      <sheetName val="AP_per_KG_(TRF)4"/>
      <sheetName val="L&amp;S_Project_input4"/>
      <sheetName val="Lists_Payroll_HIDE3"/>
      <sheetName val="Worksheet_______(PASS_WORD_6503"/>
      <sheetName val="Control_19982"/>
      <sheetName val="SOV_tot1"/>
      <sheetName val="Lists_HIDE1"/>
      <sheetName val="FX_Rates2"/>
      <sheetName val="Minion_Table2"/>
      <sheetName val="Supply_Cali1"/>
      <sheetName val="M-20_(@_Agosto_1999)1"/>
      <sheetName val="Sales_Aug-201"/>
      <sheetName val="lab_paced"/>
      <sheetName val="Master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x=28%"/>
      <sheetName val="INFLOB98"/>
      <sheetName val="INFL2RF98"/>
      <sheetName val="INFLATION"/>
      <sheetName val="infl trend"/>
      <sheetName val="TASAS"/>
      <sheetName val="W CONV"/>
      <sheetName val="WO CONV"/>
      <sheetName val="Graph"/>
      <sheetName val="SMG&amp;A - Input Local Currency"/>
      <sheetName val="SMG&amp;A Calculated US$"/>
      <sheetName val="KFT Format"/>
      <sheetName val="Instr"/>
      <sheetName val="FINALPHP"/>
      <sheetName val="Cover Sheet"/>
      <sheetName val="PARAMETERS"/>
      <sheetName val="INFL2RF"/>
      <sheetName val="REST_DEC"/>
      <sheetName val="BY TYPE"/>
      <sheetName val="OTR.CRED."/>
      <sheetName val="Synthèse"/>
      <sheetName val="KI600"/>
      <sheetName val="HagR&amp;G"/>
      <sheetName val="R$_GER"/>
      <sheetName val="Sheet3"/>
      <sheetName val="Sheet1"/>
      <sheetName val="UsgRA2"/>
      <sheetName val="list"/>
      <sheetName val="Base dropdown"/>
      <sheetName val="Listen"/>
      <sheetName val="Horno 2"/>
      <sheetName val="#REF"/>
      <sheetName val="L&amp;S Project input"/>
      <sheetName val="Sheet4"/>
      <sheetName val="ACT02"/>
      <sheetName val="L Y "/>
      <sheetName val="infl_trend"/>
      <sheetName val="W_CONV"/>
      <sheetName val="WO_CONV"/>
      <sheetName val="SMG&amp;A_-_Input_Local_Currency"/>
      <sheetName val="SMG&amp;A_Calculated_US$"/>
      <sheetName val="KFT_Format"/>
      <sheetName val="Cover_Sheet"/>
      <sheetName val="BY_TYPE"/>
      <sheetName val="OTR_CRED_"/>
      <sheetName val="L&amp;S_Project_input"/>
      <sheetName val="Base_dropdown"/>
      <sheetName val="legend"/>
      <sheetName val="Maestro"/>
      <sheetName val="Lists"/>
      <sheetName val="TAB_AUX"/>
      <sheetName val="mapping"/>
      <sheetName val="Instructions"/>
      <sheetName val="MD"/>
      <sheetName val="Per_ac"/>
      <sheetName val="Keys"/>
      <sheetName val="Tabulador MDO"/>
      <sheetName val="Tab 3 - Exchange Rate"/>
      <sheetName val="data validation"/>
      <sheetName val="Drop-Down lists"/>
      <sheetName val="Sheet2"/>
      <sheetName val="instrument"/>
      <sheetName val="JULY VOLT REVIEW"/>
      <sheetName val="2000"/>
      <sheetName val="f3"/>
      <sheetName val="infl_trend1"/>
      <sheetName val="W_CONV1"/>
      <sheetName val="WO_CONV1"/>
      <sheetName val="SMG&amp;A_-_Input_Local_Currency1"/>
      <sheetName val="SMG&amp;A_Calculated_US$1"/>
      <sheetName val="KFT_Format1"/>
      <sheetName val="Cover_Sheet1"/>
      <sheetName val="BY_TYPE1"/>
      <sheetName val="OTR_CRED_1"/>
      <sheetName val="L&amp;S_Project_input1"/>
      <sheetName val="Base_dropdown1"/>
      <sheetName val="L_Y_"/>
      <sheetName val="Horno_2"/>
      <sheetName val="Master 7-11"/>
      <sheetName val="Programs"/>
      <sheetName val="Lists HIDE"/>
      <sheetName val="Listas desplegables"/>
      <sheetName val="Drop Downs"/>
      <sheetName val="Volumen"/>
      <sheetName val="Approval Level map"/>
      <sheetName val="Auxiliar"/>
      <sheetName val="key"/>
      <sheetName val="Last Month Data"/>
      <sheetName val="Materiales"/>
      <sheetName val="infl_trend2"/>
      <sheetName val="W_CONV2"/>
      <sheetName val="WO_CONV2"/>
      <sheetName val="SMG&amp;A_-_Input_Local_Currency2"/>
      <sheetName val="SMG&amp;A_Calculated_US$2"/>
      <sheetName val="KFT_Format2"/>
      <sheetName val="Cover_Sheet2"/>
      <sheetName val="BY_TYPE2"/>
      <sheetName val="OTR_CRED_2"/>
      <sheetName val="Base_dropdown2"/>
      <sheetName val="L&amp;S_Project_input2"/>
      <sheetName val="L_Y_1"/>
      <sheetName val="Horno_21"/>
      <sheetName val="Tabulador_MDO"/>
      <sheetName val="Tab_3_-_Exchange_Rate"/>
      <sheetName val="data_validation"/>
      <sheetName val="Drop-Down_lists"/>
      <sheetName val="JULY_VOLT_REVIEW"/>
      <sheetName val="Master_7-11"/>
      <sheetName val="Lists_HIDE"/>
      <sheetName val="Listas_desplegables"/>
      <sheetName val="Drop_Downs"/>
      <sheetName val="Asset Category"/>
      <sheetName val="Upload"/>
      <sheetName val="Master"/>
      <sheetName val="Base PO"/>
      <sheetName val="Grafica 2"/>
      <sheetName val="input options"/>
      <sheetName val="Input"/>
      <sheetName val="Validation"/>
      <sheetName val="Tabelle2"/>
      <sheetName val="SMG&amp;A_-_Input_Locaf_Currency"/>
      <sheetName val="L100100"/>
      <sheetName val="Settings"/>
      <sheetName val="Tabla"/>
      <sheetName val="довідник"/>
      <sheetName val="Додатково"/>
      <sheetName val="infl_trend3"/>
      <sheetName val="W_CONV3"/>
      <sheetName val="WO_CONV3"/>
      <sheetName val="SMG&amp;A_-_Input_Local_Currency3"/>
      <sheetName val="SMG&amp;A_Calculated_US$3"/>
      <sheetName val="KFT_Format3"/>
      <sheetName val="Cover_Sheet3"/>
      <sheetName val="BY_TYPE3"/>
      <sheetName val="OTR_CRED_3"/>
      <sheetName val="Base_dropdown3"/>
      <sheetName val="L&amp;S_Project_input3"/>
      <sheetName val="L_Y_2"/>
      <sheetName val="Horno_22"/>
      <sheetName val="data_validation1"/>
      <sheetName val="Drop-Down_lists1"/>
      <sheetName val="Tab_3_-_Exchange_Rate1"/>
      <sheetName val="Tabulador_MDO1"/>
      <sheetName val="JULY_VOLT_REVIEW1"/>
      <sheetName val="Master_7-111"/>
      <sheetName val="Lists_HIDE1"/>
      <sheetName val="Listas_desplegables1"/>
      <sheetName val="Drop_Downs1"/>
      <sheetName val="Last_Month_Data"/>
      <sheetName val="Approval_Level_map"/>
      <sheetName val="Asset_Category"/>
      <sheetName val="input_options"/>
      <sheetName val="Base_PO"/>
      <sheetName val="Grafica_2"/>
      <sheetName val="DD Legend"/>
      <sheetName val="Reporte de PT"/>
      <sheetName val="Q4Full"/>
      <sheetName val="Control"/>
      <sheetName val="infl_trend4"/>
      <sheetName val="W_CONV4"/>
      <sheetName val="WO_CONV4"/>
      <sheetName val="SMG&amp;A_-_Input_Local_Currency4"/>
      <sheetName val="SMG&amp;A_Calculated_US$4"/>
      <sheetName val="KFT_Format4"/>
      <sheetName val="Cover_Sheet4"/>
      <sheetName val="BY_TYPE4"/>
      <sheetName val="OTR_CRED_4"/>
      <sheetName val="Base_dropdown4"/>
      <sheetName val="L&amp;S_Project_input4"/>
      <sheetName val="L_Y_3"/>
      <sheetName val="Horno_23"/>
      <sheetName val="data_validation2"/>
      <sheetName val="Drop-Down_lists2"/>
      <sheetName val="Tab_3_-_Exchange_Rate2"/>
      <sheetName val="Tabulador_MDO2"/>
      <sheetName val="JULY_VOLT_REVIEW2"/>
      <sheetName val="Master_7-112"/>
      <sheetName val="Lists_HIDE2"/>
      <sheetName val="Listas_desplegables2"/>
      <sheetName val="Drop_Downs2"/>
      <sheetName val="Last_Month_Data1"/>
      <sheetName val="Approval_Level_map1"/>
      <sheetName val="Asset_Category1"/>
      <sheetName val="input_options1"/>
      <sheetName val="Base_PO1"/>
      <sheetName val="Grafica_21"/>
      <sheetName val="DD_Legend"/>
      <sheetName val="Feuil1"/>
      <sheetName val="ADR field descr"/>
      <sheetName val="ADR field descr and OP instruc "/>
      <sheetName val="data"/>
      <sheetName val="1. Checklist"/>
      <sheetName val="Final Summary wo Memo"/>
      <sheetName val="infl_trend5"/>
      <sheetName val="W_CONV5"/>
      <sheetName val="WO_CONV5"/>
      <sheetName val="SMG&amp;A_-_Input_Local_Currency5"/>
      <sheetName val="SMG&amp;A_Calculated_US$5"/>
      <sheetName val="KFT_Format5"/>
      <sheetName val="Cover_Sheet5"/>
      <sheetName val="BY_TYPE5"/>
      <sheetName val="OTR_CRED_5"/>
      <sheetName val="L&amp;S_Project_input5"/>
      <sheetName val="Base_dropdown5"/>
      <sheetName val="L_Y_4"/>
      <sheetName val="Horno_24"/>
      <sheetName val="Tab_3_-_Exchange_Rate3"/>
      <sheetName val="Tabulador_MDO3"/>
      <sheetName val="data_validation3"/>
      <sheetName val="Drop-Down_lists3"/>
      <sheetName val="JULY_VOLT_REVIEW3"/>
      <sheetName val="Master_7-113"/>
      <sheetName val="Lists_HIDE3"/>
      <sheetName val="Listas_desplegables3"/>
      <sheetName val="Drop_Downs3"/>
      <sheetName val="Approval_Level_map2"/>
      <sheetName val="Last_Month_Data2"/>
      <sheetName val="Asset_Category2"/>
      <sheetName val="input_options2"/>
      <sheetName val="Base_PO2"/>
      <sheetName val="Grafica_22"/>
      <sheetName val="DD_Legend1"/>
      <sheetName val="ADR_field_descr"/>
      <sheetName val="ADR_field_descr_and_OP_instruc_"/>
      <sheetName val="Reporte_de_PT"/>
      <sheetName val="infl_trend6"/>
      <sheetName val="W_CONV6"/>
      <sheetName val="WO_CONV6"/>
      <sheetName val="SMG&amp;A_-_Input_Local_Currency6"/>
      <sheetName val="SMG&amp;A_Calculated_US$6"/>
      <sheetName val="KFT_Format6"/>
      <sheetName val="Cover_Sheet6"/>
      <sheetName val="BY_TYPE6"/>
      <sheetName val="OTR_CRED_6"/>
      <sheetName val="L&amp;S_Project_input6"/>
      <sheetName val="Base_dropdown6"/>
      <sheetName val="L_Y_5"/>
      <sheetName val="Horno_25"/>
      <sheetName val="Tab_3_-_Exchange_Rate4"/>
      <sheetName val="Tabulador_MDO4"/>
      <sheetName val="data_validation4"/>
      <sheetName val="Drop-Down_lists4"/>
      <sheetName val="JULY_VOLT_REVIEW4"/>
      <sheetName val="Master_7-114"/>
      <sheetName val="Lists_HIDE4"/>
      <sheetName val="Listas_desplegables4"/>
      <sheetName val="Drop_Downs4"/>
      <sheetName val="Approval_Level_map3"/>
      <sheetName val="Last_Month_Data3"/>
      <sheetName val="Asset_Category3"/>
      <sheetName val="input_options3"/>
      <sheetName val="Base_PO3"/>
      <sheetName val="Grafica_23"/>
      <sheetName val="DD_Legend2"/>
      <sheetName val="ADR_field_descr1"/>
      <sheetName val="ADR_field_descr_and_OP_instruc1"/>
      <sheetName val="Reporte_de_PT1"/>
      <sheetName val="96PRCBAK"/>
      <sheetName val="eqpmad2"/>
      <sheetName val="Category_Choco"/>
      <sheetName val="1__Checklist"/>
      <sheetName val="infl_trend7"/>
      <sheetName val="W_CONV7"/>
      <sheetName val="WO_CONV7"/>
      <sheetName val="SMG&amp;A_-_Input_Local_Currency7"/>
      <sheetName val="SMG&amp;A_Calculated_US$7"/>
      <sheetName val="KFT_Format7"/>
      <sheetName val="Cover_Sheet7"/>
      <sheetName val="BY_TYPE7"/>
      <sheetName val="OTR_CRED_7"/>
      <sheetName val="L&amp;S_Project_input7"/>
      <sheetName val="Base_dropdown7"/>
      <sheetName val="L_Y_6"/>
      <sheetName val="Horno_26"/>
      <sheetName val="Tab_3_-_Exchange_Rate5"/>
      <sheetName val="Tabulador_MDO5"/>
      <sheetName val="data_validation5"/>
      <sheetName val="Drop-Down_lists5"/>
      <sheetName val="JULY_VOLT_REVIEW5"/>
      <sheetName val="Master_7-115"/>
      <sheetName val="Lists_HIDE5"/>
      <sheetName val="Listas_desplegables5"/>
      <sheetName val="Drop_Downs5"/>
      <sheetName val="Approval_Level_map4"/>
      <sheetName val="Last_Month_Data4"/>
      <sheetName val="Asset_Category4"/>
      <sheetName val="input_options4"/>
      <sheetName val="Base_PO4"/>
      <sheetName val="Grafica_24"/>
      <sheetName val="DD_Legend3"/>
      <sheetName val="ADR_field_descr2"/>
      <sheetName val="ADR_field_descr_and_OP_instruc2"/>
      <sheetName val="Reporte_de_PT2"/>
      <sheetName val="3.2"/>
      <sheetName val="infl_trend8"/>
      <sheetName val="W_CONV8"/>
      <sheetName val="WO_CONV8"/>
      <sheetName val="SMG&amp;A_-_Input_Local_Currency8"/>
      <sheetName val="SMG&amp;A_Calculated_US$8"/>
      <sheetName val="KFT_Format8"/>
      <sheetName val="Cover_Sheet8"/>
      <sheetName val="BY_TYPE8"/>
      <sheetName val="OTR_CRED_8"/>
      <sheetName val="L&amp;S_Project_input8"/>
      <sheetName val="Base_dropdown8"/>
      <sheetName val="L_Y_7"/>
      <sheetName val="Horno_27"/>
      <sheetName val="Tab_3_-_Exchange_Rate6"/>
      <sheetName val="Tabulador_MDO6"/>
      <sheetName val="data_validation6"/>
      <sheetName val="Drop-Down_lists6"/>
      <sheetName val="JULY_VOLT_REVIEW6"/>
      <sheetName val="Master_7-116"/>
      <sheetName val="Listas_desplegables6"/>
      <sheetName val="Lists_HIDE6"/>
      <sheetName val="Drop_Downs6"/>
      <sheetName val="Approval_Level_map5"/>
      <sheetName val="Last_Month_Data5"/>
      <sheetName val="input_options5"/>
      <sheetName val="Asset_Category5"/>
      <sheetName val="Base_PO5"/>
      <sheetName val="Grafica_25"/>
      <sheetName val="DD_Legend4"/>
      <sheetName val="ADR_field_descr3"/>
      <sheetName val="ADR_field_descr_and_OP_instruc3"/>
      <sheetName val="Reporte_de_PT3"/>
      <sheetName val="Final_Summary_wo_Memo"/>
      <sheetName val="infl_trend9"/>
      <sheetName val="W_CONV9"/>
      <sheetName val="WO_CONV9"/>
      <sheetName val="SMG&amp;A_-_Input_Local_Currency9"/>
      <sheetName val="SMG&amp;A_Calculated_US$9"/>
      <sheetName val="KFT_Format9"/>
      <sheetName val="Cover_Sheet9"/>
      <sheetName val="BY_TYPE9"/>
      <sheetName val="OTR_CRED_9"/>
      <sheetName val="L&amp;S_Project_input9"/>
      <sheetName val="Base_dropdown9"/>
      <sheetName val="L_Y_8"/>
      <sheetName val="Horno_28"/>
      <sheetName val="Tab_3_-_Exchange_Rate7"/>
      <sheetName val="Tabulador_MDO7"/>
      <sheetName val="data_validation7"/>
      <sheetName val="Drop-Down_lists7"/>
      <sheetName val="JULY_VOLT_REVIEW7"/>
      <sheetName val="Master_7-117"/>
      <sheetName val="Listas_desplegables7"/>
      <sheetName val="Lists_HIDE7"/>
      <sheetName val="Drop_Downs7"/>
      <sheetName val="Approval_Level_map6"/>
      <sheetName val="Last_Month_Data6"/>
      <sheetName val="input_options6"/>
      <sheetName val="Asset_Category6"/>
      <sheetName val="Base_PO6"/>
      <sheetName val="Grafica_26"/>
      <sheetName val="DD_Legend5"/>
      <sheetName val="ADR_field_descr4"/>
      <sheetName val="ADR_field_descr_and_OP_instruc4"/>
      <sheetName val="Reporte_de_PT4"/>
      <sheetName val="1__Checklist1"/>
      <sheetName val="Final_Summary_wo_Memo1"/>
      <sheetName val="Doi chieu"/>
      <sheetName val="PSD-BICUTAN"/>
      <sheetName val="production volumes"/>
      <sheetName val="St Pete (RUB)"/>
      <sheetName val="GLSU Upload"/>
      <sheetName val="Sheet8"/>
      <sheetName val="ACTData"/>
      <sheetName val="CommData"/>
      <sheetName val="IS"/>
      <sheetName val="固定资产"/>
      <sheetName val="ACT03"/>
      <sheetName val="Lookup"/>
      <sheetName val="OB04"/>
      <sheetName val="XL4Poppy"/>
      <sheetName val="B"/>
      <sheetName val="кисет+табакко q2'2012"/>
      <sheetName val="KPI 1"/>
      <sheetName val="KPI 2"/>
      <sheetName val="infl_trend10"/>
      <sheetName val="W_CONV10"/>
      <sheetName val="WO_CONV10"/>
      <sheetName val="SMG&amp;A_-_Input_Local_Currency10"/>
      <sheetName val="SMG&amp;A_Calculated_US$10"/>
      <sheetName val="KFT_Format10"/>
      <sheetName val="Cover_Sheet10"/>
      <sheetName val="BY_TYPE10"/>
      <sheetName val="OTR_CRED_10"/>
      <sheetName val="Base_dropdown10"/>
      <sheetName val="L&amp;S_Project_input10"/>
      <sheetName val="L_Y_9"/>
      <sheetName val="Horno_29"/>
      <sheetName val="data_validation8"/>
      <sheetName val="Drop-Down_lists8"/>
      <sheetName val="Tab_3_-_Exchange_Rate8"/>
      <sheetName val="Tabulador_MDO8"/>
      <sheetName val="JULY_VOLT_REVIEW8"/>
      <sheetName val="Master_7-118"/>
      <sheetName val="Lists_HIDE8"/>
      <sheetName val="Listas_desplegables8"/>
      <sheetName val="Drop_Downs8"/>
      <sheetName val="Approval_Level_map7"/>
      <sheetName val="input_options7"/>
      <sheetName val="Last_Month_Data7"/>
      <sheetName val="Asset_Category7"/>
      <sheetName val="Base_PO7"/>
      <sheetName val="Grafica_27"/>
      <sheetName val="DD_Legend6"/>
      <sheetName val="ADR_field_descr5"/>
      <sheetName val="ADR_field_descr_and_OP_instruc5"/>
      <sheetName val="Reporte_de_PT5"/>
      <sheetName val="1__Checklist2"/>
      <sheetName val="Final_Summary_wo_Memo2"/>
      <sheetName val="3_2"/>
      <sheetName val="production_volumes"/>
      <sheetName val="St_Pete_(RUB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 refreshError="1"/>
      <sheetData sheetId="155" refreshError="1"/>
      <sheetData sheetId="156" refreshError="1"/>
      <sheetData sheetId="157" refreshError="1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 refreshError="1"/>
      <sheetData sheetId="258" refreshError="1"/>
      <sheetData sheetId="259" refreshError="1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 Planta"/>
      <sheetName val="Horno 1"/>
      <sheetName val="Horno 2"/>
      <sheetName val="Horno 3"/>
      <sheetName val="Horno 4"/>
      <sheetName val="Wafer"/>
      <sheetName val="Bañadora (1)"/>
      <sheetName val="Bañadora (2)"/>
      <sheetName val="Bañadora (3)"/>
      <sheetName val="Dulceria (Latini)"/>
      <sheetName val="Dulceria (Uniplast)"/>
      <sheetName val="Marshmellows"/>
      <sheetName val="menu principal"/>
      <sheetName val="FINALPH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OB Key Assmpt"/>
      <sheetName val="OB Interest"/>
      <sheetName val="Revolver"/>
      <sheetName val="Chart (NFP)"/>
      <sheetName val="AFP Limits"/>
      <sheetName val="Dividends"/>
      <sheetName val="OB Royalties"/>
      <sheetName val="Cash"/>
      <sheetName val="ST LOANS"/>
      <sheetName val="IC LOANS"/>
      <sheetName val="Retained Earning"/>
      <sheetName val="OB AFP"/>
      <sheetName val="Summary"/>
      <sheetName val="Cash_LC"/>
      <sheetName val="Cash_USD"/>
      <sheetName val="Bank Loan_LC"/>
      <sheetName val="Bank Loan_USD"/>
      <sheetName val="ST_LC"/>
      <sheetName val="ST_USD"/>
      <sheetName val="LT_LC"/>
      <sheetName val="LT_USD"/>
      <sheetName val="Interco_USD"/>
      <sheetName val="Best Case (AFP)"/>
      <sheetName val="Worst Case (AFP)"/>
      <sheetName val="Database AFP=&gt;"/>
      <sheetName val="Cash &amp; Equivalents"/>
      <sheetName val="ST Bank Loans"/>
      <sheetName val="ST Debt"/>
      <sheetName val="LT Debt"/>
      <sheetName val="Interco"/>
      <sheetName val="Codes"/>
      <sheetName val="Best Case (Proposed)"/>
      <sheetName val="Worst Case (Proposed)"/>
      <sheetName val="Investment Limit (Proposed)"/>
      <sheetName val="LC Investment Limit (Proposed)"/>
      <sheetName val="USD Investment Limit (Proposed)"/>
      <sheetName val="Debt Limit (Proposed)"/>
      <sheetName val="LC Debt Limit (Proposed)"/>
      <sheetName val="USD Debt Limit (Proposed)"/>
      <sheetName val="Definitions"/>
      <sheetName val="DB"/>
      <sheetName val="DATA"/>
      <sheetName val=""/>
      <sheetName val="BU3_95"/>
      <sheetName val="GRID_DET"/>
      <sheetName val="OB_Key_Assmpt"/>
      <sheetName val="OB_Interest"/>
      <sheetName val="Chart_(NFP)"/>
      <sheetName val="AFP_Limits"/>
      <sheetName val="OB_Royalties"/>
      <sheetName val="ST_LOANS"/>
      <sheetName val="IC_LOANS"/>
      <sheetName val="Retained_Earning"/>
      <sheetName val="OB_AFP"/>
      <sheetName val="Bank_Loan_LC"/>
      <sheetName val="Bank_Loan_USD"/>
      <sheetName val="Best_Case_(AFP)"/>
      <sheetName val="Worst_Case_(AFP)"/>
      <sheetName val="Database_AFP=&gt;"/>
      <sheetName val="Cash_&amp;_Equivalents"/>
      <sheetName val="ST_Bank_Loans"/>
      <sheetName val="ST_Debt"/>
      <sheetName val="LT_Debt"/>
      <sheetName val="Best_Case_(Proposed)"/>
      <sheetName val="Worst_Case_(Proposed)"/>
      <sheetName val="Investment_Limit_(Proposed)"/>
      <sheetName val="LC_Investment_Limit_(Proposed)"/>
      <sheetName val="USD_Investment_Limit_(Proposed)"/>
      <sheetName val="Debt_Limit_(Proposed)"/>
      <sheetName val="LC_Debt_Limit_(Proposed)"/>
      <sheetName val="USD_Debt_Limit_(Proposed)"/>
      <sheetName val="Listas"/>
      <sheetName val="vs LY Const"/>
      <sheetName val="OB_Key_Assmpt1"/>
      <sheetName val="OB_Interest1"/>
      <sheetName val="Chart_(NFP)1"/>
      <sheetName val="AFP_Limits1"/>
      <sheetName val="OB_Royalties1"/>
      <sheetName val="ST_LOANS1"/>
      <sheetName val="IC_LOANS1"/>
      <sheetName val="Retained_Earning1"/>
      <sheetName val="OB_AFP1"/>
      <sheetName val="Bank_Loan_LC1"/>
      <sheetName val="Bank_Loan_USD1"/>
      <sheetName val="Best_Case_(AFP)1"/>
      <sheetName val="Worst_Case_(AFP)1"/>
      <sheetName val="Database_AFP=&gt;1"/>
      <sheetName val="Cash_&amp;_Equivalents1"/>
      <sheetName val="ST_Bank_Loans1"/>
      <sheetName val="ST_Debt1"/>
      <sheetName val="LT_Debt1"/>
      <sheetName val="Best_Case_(Proposed)1"/>
      <sheetName val="Worst_Case_(Proposed)1"/>
      <sheetName val="Investment_Limit_(Proposed)1"/>
      <sheetName val="LC_Investment_Limit_(Proposed)1"/>
      <sheetName val="USD_Investment_Limit_(Proposed1"/>
      <sheetName val="Debt_Limit_(Proposed)1"/>
      <sheetName val="LC_Debt_Limit_(Proposed)1"/>
      <sheetName val="USD_Debt_Limit_(Proposed)1"/>
      <sheetName val="Sheet1"/>
      <sheetName val="Direcciones, Categ, etc"/>
      <sheetName val="Item Mapping Table"/>
      <sheetName val="Dry Mixes"/>
      <sheetName val="Pastas"/>
      <sheetName val="Macro1"/>
      <sheetName val="menu"/>
      <sheetName val="parameters"/>
      <sheetName val="Hidden"/>
      <sheetName val="Tang Mx"/>
      <sheetName val="Sheet2"/>
      <sheetName val="OB_Key_Assmpt2"/>
      <sheetName val="OB_Interest2"/>
      <sheetName val="Chart_(NFP)2"/>
      <sheetName val="AFP_Limits2"/>
      <sheetName val="OB_Royalties2"/>
      <sheetName val="ST_LOANS2"/>
      <sheetName val="IC_LOANS2"/>
      <sheetName val="Retained_Earning2"/>
      <sheetName val="OB_AFP2"/>
      <sheetName val="Bank_Loan_LC2"/>
      <sheetName val="Bank_Loan_USD2"/>
      <sheetName val="Best_Case_(AFP)2"/>
      <sheetName val="Worst_Case_(AFP)2"/>
      <sheetName val="Database_AFP=&gt;2"/>
      <sheetName val="Cash_&amp;_Equivalents2"/>
      <sheetName val="ST_Bank_Loans2"/>
      <sheetName val="ST_Debt2"/>
      <sheetName val="LT_Debt2"/>
      <sheetName val="Best_Case_(Proposed)2"/>
      <sheetName val="Worst_Case_(Proposed)2"/>
      <sheetName val="Investment_Limit_(Proposed)2"/>
      <sheetName val="LC_Investment_Limit_(Proposed)2"/>
      <sheetName val="USD_Investment_Limit_(Proposed2"/>
      <sheetName val="Debt_Limit_(Proposed)2"/>
      <sheetName val="LC_Debt_Limit_(Proposed)2"/>
      <sheetName val="USD_Debt_Limit_(Proposed)2"/>
      <sheetName val="vs_LY_Const"/>
      <sheetName val="Direcciones,_Categ,_etc"/>
      <sheetName val="Item_Mapping_Table"/>
      <sheetName val="Dry_Mixes"/>
      <sheetName val="Tang_Mx"/>
      <sheetName val="Entity"/>
      <sheetName val="Product"/>
      <sheetName val="Channel"/>
      <sheetName val="Settings"/>
      <sheetName val="Account"/>
      <sheetName val="Kg por turno"/>
      <sheetName val="% alm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  <sheetData sheetId="43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00"/>
      <sheetName val="Efecto Candies mensual"/>
      <sheetName val="#¡REF"/>
      <sheetName val="Graph"/>
      <sheetName val="MES"/>
      <sheetName val="COSTO NUEVOS PRODUCTOS"/>
      <sheetName val="Forex"/>
      <sheetName val="PDR"/>
      <sheetName val=""/>
      <sheetName val="Efecto_Candies_mensual"/>
      <sheetName val="COSTO_NUEVOS_PRODUCTOS"/>
      <sheetName val="CL yield in Q2"/>
      <sheetName val="Macro1"/>
      <sheetName val="ClusteredStacked"/>
      <sheetName val="LA Act04"/>
      <sheetName val="Hidden"/>
      <sheetName val="Item Mapping Table"/>
      <sheetName val="97RESULT"/>
      <sheetName val="SF_EX"/>
      <sheetName val="Month-Codes"/>
      <sheetName val="MD'S Monthly"/>
      <sheetName val="Efecto_Candies_mensual1"/>
      <sheetName val="COSTO_NUEVOS_PRODUCTOS1"/>
      <sheetName val="Efecto_Candies_mensual2"/>
      <sheetName val="COSTO_NUEVOS_PRODUCTOS2"/>
      <sheetName val="suppl-pack"/>
      <sheetName val="Horno 5"/>
      <sheetName val="Horno 1"/>
      <sheetName val="Horno 2"/>
      <sheetName val="Horno 3"/>
      <sheetName val="Horno 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PERSEDED"/>
      <sheetName val="Sheet3"/>
      <sheetName val="FINALUS$"/>
      <sheetName val="CAPERFORM"/>
      <sheetName val="CAPERFORM $"/>
      <sheetName val="IFO$"/>
      <sheetName val="Sheet1"/>
      <sheetName val="Sheet2"/>
      <sheetName val="FINALPHP"/>
      <sheetName val="CPEXPER"/>
      <sheetName val="Control 1999"/>
      <sheetName val="CH-OV"/>
      <sheetName val="FOODOR"/>
      <sheetName val="CONSUMO MAT. Y MAT. PRIMAS"/>
      <sheetName val="Control"/>
      <sheetName val="B"/>
      <sheetName val="Q"/>
      <sheetName val="AN"/>
      <sheetName val="AY"/>
      <sheetName val="H"/>
      <sheetName val="J"/>
      <sheetName val="A"/>
      <sheetName val="N"/>
      <sheetName val="AX"/>
      <sheetName val="OBData"/>
      <sheetName val="IVA-DEC"/>
      <sheetName val="000"/>
      <sheetName val="depletion sked_exLTC"/>
      <sheetName val="PIPELINE"/>
      <sheetName val="pipe(ex-ltc)"/>
      <sheetName val="OB97LST"/>
      <sheetName val="Tables"/>
      <sheetName val="DB"/>
      <sheetName val="Lists"/>
      <sheetName val="Setup"/>
      <sheetName val="Macro1"/>
      <sheetName val="Free Cash Flow Rpt "/>
      <sheetName val="Summary"/>
      <sheetName val="QC - 1a"/>
      <sheetName val="Category"/>
      <sheetName val="BU3_95"/>
      <sheetName val="PPV Chart1"/>
      <sheetName val="PPV by BU by Category"/>
      <sheetName val="BOM"/>
      <sheetName val="Account Group"/>
      <sheetName val="Country Key"/>
      <sheetName val="Language"/>
      <sheetName val="Transportation Zone"/>
      <sheetName val="KF Plants; Calendar weeks"/>
      <sheetName val="Forex"/>
      <sheetName val="YECALENDAR"/>
      <sheetName val="File Setting"/>
      <sheetName val="AM"/>
      <sheetName val="ROMI"/>
      <sheetName val="RA"/>
      <sheetName val="CAPERFORM_$"/>
      <sheetName val="Control_1999"/>
      <sheetName val="depletion_sked_exLTC"/>
      <sheetName val="CONSUMO_MAT__Y_MAT__PRIMAS"/>
      <sheetName val="QC_-_1a"/>
      <sheetName val="PPV_Chart1"/>
      <sheetName val="PPV_by_BU_by_Category"/>
      <sheetName val="Free_Cash_Flow_Rpt_"/>
      <sheetName val="KF_Plants;_Calendar_weeks"/>
      <sheetName val="File_Setting"/>
      <sheetName val="Menú"/>
      <sheetName val="TASA DE CAMBIO"/>
      <sheetName val="Cta"/>
      <sheetName val="Brand Analysis (1)"/>
      <sheetName val="KARDEX"/>
      <sheetName val="sum98bsxtm"/>
      <sheetName val="antbsxton"/>
      <sheetName val="Worksheet       (PASS WORD 650)"/>
      <sheetName val="Anex 17"/>
      <sheetName val="IPCs"/>
      <sheetName val="A-351VZL"/>
      <sheetName val="IPC"/>
      <sheetName val="calculos"/>
      <sheetName val="INPUTS"/>
      <sheetName val="impuestos trim"/>
      <sheetName val="Formulario"/>
      <sheetName val="CUENTAS POR COBRAR NO COMERCIAL"/>
      <sheetName val="B-111"/>
      <sheetName val="Cedula L (I-4´12)"/>
      <sheetName val="IAE-GILLETTE"/>
      <sheetName val="Mov. Patrimo "/>
      <sheetName val="Dados BLP"/>
      <sheetName val="RETAIL "/>
      <sheetName val="BS"/>
      <sheetName val="Dozavos IAE"/>
      <sheetName val="PMIREQ"/>
      <sheetName val="FixedCostFore"/>
      <sheetName val="BLP"/>
      <sheetName val="#¡REF"/>
      <sheetName val="Adf par resp"/>
      <sheetName val="POV"/>
      <sheetName val="Budget"/>
      <sheetName val="Tablames"/>
      <sheetName val="MES"/>
      <sheetName val="MAE_MESES"/>
      <sheetName val="Buy Group Assignments"/>
      <sheetName val="Costs by Req'd Part # 12-03-01"/>
      <sheetName val="1994FRF"/>
      <sheetName val="Nominales 19"/>
      <sheetName val="Overview"/>
      <sheetName val="UK S"/>
      <sheetName val="US$"/>
      <sheetName val="Lion Baking Powder DOM"/>
      <sheetName val="VOLUME - SOS"/>
      <sheetName val="PRICE ASSUMPTIONS DOM"/>
      <sheetName val="SUIVI EFFECTIFS"/>
      <sheetName val="EFFECT."/>
      <sheetName val="Tons"/>
      <sheetName val="tit"/>
      <sheetName val="abcd"/>
      <sheetName val="ar"/>
      <sheetName val="Vendas Tons"/>
      <sheetName val="C.Estr."/>
      <sheetName val="COSTAB97"/>
      <sheetName val="indice"/>
      <sheetName val="mixprod"/>
      <sheetName val="raf"/>
      <sheetName val="rce"/>
      <sheetName val="CAB"/>
      <sheetName val="Instr"/>
      <sheetName val="SHEET"/>
      <sheetName val="ANALYSIS"/>
      <sheetName val="PARAMETERS"/>
      <sheetName val="CAPERFORM_$1"/>
      <sheetName val="P&amp;LBANANA"/>
      <sheetName val="validation"/>
      <sheetName val="Date"/>
      <sheetName val="Costo M.P."/>
      <sheetName val="ISLR PNR"/>
      <sheetName val="Axv "/>
      <sheetName val="FLUJO EF."/>
      <sheetName val=""/>
      <sheetName val="Account_Group"/>
      <sheetName val="Country_Key"/>
      <sheetName val="Transportation_Zone"/>
      <sheetName val="VISCOUS"/>
      <sheetName val="CHWTRD"/>
      <sheetName val="(L1)"/>
      <sheetName val="(L2)"/>
      <sheetName val="(L3)"/>
      <sheetName val="(L4)"/>
      <sheetName val="(L5)"/>
      <sheetName val="(L6)"/>
      <sheetName val="(L7)"/>
      <sheetName val="(L8)"/>
      <sheetName val="(L9)"/>
      <sheetName val="纸箱需求"/>
      <sheetName val="Index"/>
      <sheetName val="Cover"/>
      <sheetName val="depletion_sked_exLTC1"/>
      <sheetName val="Control_19991"/>
      <sheetName val="Free_Cash_Flow_Rpt_1"/>
      <sheetName val="CONSUMO_MAT__Y_MAT__PRIMAS1"/>
      <sheetName val="KF_Plants;_Calendar_weeks1"/>
      <sheetName val="File_Setting1"/>
      <sheetName val="QC_-_1a1"/>
      <sheetName val="PPV_Chart11"/>
      <sheetName val="PPV_by_BU_by_Category1"/>
      <sheetName val="TASA_DE_CAMBIO"/>
      <sheetName val="Brand_Analysis_(1)"/>
      <sheetName val="Worksheet_______(PASS_WORD_650)"/>
      <sheetName val="Anex_17"/>
      <sheetName val="impuestos_trim"/>
      <sheetName val="CUENTAS_POR_COBRAR_NO_COMERCIAL"/>
      <sheetName val="Cedula_L_(I-4´12)"/>
      <sheetName val="Mov__Patrimo_"/>
      <sheetName val="Dados_BLP"/>
      <sheetName val="RETAIL_"/>
      <sheetName val="Dozavos_IAE"/>
      <sheetName val="Brand "/>
      <sheetName val="CAPERFORM_$2"/>
      <sheetName val="PPV_Chart12"/>
      <sheetName val="PPV_by_BU_by_Category2"/>
      <sheetName val="Control_19992"/>
      <sheetName val="depletion_sked_exLTC2"/>
      <sheetName val="CONSUMO_MAT__Y_MAT__PRIMAS2"/>
      <sheetName val="QC_-_1a2"/>
      <sheetName val="Free_Cash_Flow_Rpt_2"/>
      <sheetName val="Account_Group1"/>
      <sheetName val="Country_Key1"/>
      <sheetName val="Transportation_Zone1"/>
      <sheetName val="KF_Plants;_Calendar_weeks2"/>
      <sheetName val="File_Setting2"/>
      <sheetName val="TASA_DE_CAMBIO1"/>
      <sheetName val="Brand_Analysis_(1)1"/>
      <sheetName val="Worksheet_______(PASS_WORD_6501"/>
      <sheetName val="Anex_171"/>
      <sheetName val="impuestos_trim1"/>
      <sheetName val="CUENTAS_POR_COBRAR_NO_COMERCIA1"/>
      <sheetName val="Cedula_L_(I-4´12)1"/>
      <sheetName val="Mov__Patrimo_1"/>
      <sheetName val="Dados_BLP1"/>
      <sheetName val="RETAIL_1"/>
      <sheetName val="Dozavos_IAE1"/>
      <sheetName val="Adf_par_resp"/>
      <sheetName val="SUIVI_EFFECTIFS"/>
      <sheetName val="EFFECT_"/>
      <sheetName val="Vendas_Tons"/>
      <sheetName val="C_Estr_"/>
      <sheetName val="Lion_Baking_Powder_DOM"/>
      <sheetName val="VOLUME_-_SOS"/>
      <sheetName val="PRICE_ASSUMPTIONS_DOM"/>
      <sheetName val="Buy_Group_Assignments"/>
      <sheetName val="Costs_by_Req'd_Part_#_12-03-01"/>
      <sheetName val="Nominales_19"/>
      <sheetName val="UK_S"/>
      <sheetName val="Costo_M_P_"/>
      <sheetName val="ISLR_PNR"/>
      <sheetName val="Axv_"/>
      <sheetName val="FLUJO_EF_"/>
      <sheetName val="Brand_"/>
      <sheetName val="PRICEVARIANCE"/>
      <sheetName val="AM Q3 15 90 days Plan"/>
      <sheetName val="LIST"/>
      <sheetName val="April Financial Tracker"/>
      <sheetName val="Paros Por Falta de Material"/>
      <sheetName val="DATOS"/>
      <sheetName val="_x005f_x0000_"/>
      <sheetName val="LE"/>
      <sheetName val="Product Views"/>
      <sheetName val="CAPERFORM_$3"/>
      <sheetName val="Adf_par_resp1"/>
      <sheetName val="SUIVI_EFFECTIFS1"/>
      <sheetName val="EFFECT_1"/>
      <sheetName val="Vendas_Tons1"/>
      <sheetName val="C_Estr_1"/>
      <sheetName val="Lion_Baking_Powder_DOM1"/>
      <sheetName val="VOLUME_-_SOS1"/>
      <sheetName val="PRICE_ASSUMPTIONS_DOM1"/>
      <sheetName val="Buy_Group_Assignments1"/>
      <sheetName val="Costs_by_Req'd_Part_#_12-03-011"/>
      <sheetName val="Nominales_191"/>
      <sheetName val="UK_S1"/>
      <sheetName val="Costo_M_P_1"/>
      <sheetName val="ISLR_PNR1"/>
      <sheetName val="Axv_1"/>
      <sheetName val="FLUJO_EF_1"/>
      <sheetName val="SUD"/>
      <sheetName val="QC_-_1a3"/>
      <sheetName val="Control_19993"/>
      <sheetName val="PPV_Chart13"/>
      <sheetName val="PPV_by_BU_by_Category3"/>
      <sheetName val="Account_Group2"/>
      <sheetName val="Country_Key2"/>
      <sheetName val="Transportation_Zone2"/>
      <sheetName val="depletion_sked_exLTC3"/>
      <sheetName val="CONSUMO_MAT__Y_MAT__PRIMAS3"/>
      <sheetName val="Free_Cash_Flow_Rpt_3"/>
      <sheetName val="KF_Plants;_Calendar_weeks3"/>
      <sheetName val="File_Setting3"/>
      <sheetName val="TASA_DE_CAMBIO2"/>
      <sheetName val="Brand_Analysis_(1)2"/>
      <sheetName val="Worksheet_______(PASS_WORD_6502"/>
      <sheetName val="Anex_172"/>
      <sheetName val="impuestos_trim2"/>
      <sheetName val="CUENTAS_POR_COBRAR_NO_COMERCIA2"/>
      <sheetName val="Cedula_L_(I-4´12)2"/>
      <sheetName val="Mov__Patrimo_2"/>
      <sheetName val="Dados_BLP2"/>
      <sheetName val="RETAIL_2"/>
      <sheetName val="Dozavos_IAE2"/>
      <sheetName val="Brand_1"/>
      <sheetName val="AM_Q3_15_90_days_Plan"/>
      <sheetName val="Product_Views"/>
      <sheetName val="Riepilogo linee-direz BUD"/>
      <sheetName val="Month"/>
      <sheetName val="数据List"/>
      <sheetName val="_x005f_x005f_x005F_x0000_"/>
      <sheetName val="HOME"/>
      <sheetName val="DIOH"/>
      <sheetName val="Settings"/>
      <sheetName val="Línea 1"/>
      <sheetName val="CAPERFORM_$4"/>
      <sheetName val="QC_-_1a4"/>
      <sheetName val="Control_19994"/>
      <sheetName val="PPV_Chart14"/>
      <sheetName val="PPV_by_BU_by_Category4"/>
      <sheetName val="depletion_sked_exLTC4"/>
      <sheetName val="CONSUMO_MAT__Y_MAT__PRIMAS4"/>
      <sheetName val="Account_Group3"/>
      <sheetName val="Country_Key3"/>
      <sheetName val="Transportation_Zone3"/>
      <sheetName val="Free_Cash_Flow_Rpt_4"/>
      <sheetName val="KF_Plants;_Calendar_weeks4"/>
      <sheetName val="File_Setting4"/>
      <sheetName val="TASA_DE_CAMBIO3"/>
      <sheetName val="Brand_Analysis_(1)3"/>
      <sheetName val="Worksheet_______(PASS_WORD_6503"/>
      <sheetName val="Anex_173"/>
      <sheetName val="impuestos_trim3"/>
      <sheetName val="CUENTAS_POR_COBRAR_NO_COMERCIA3"/>
      <sheetName val="Cedula_L_(I-4´12)3"/>
      <sheetName val="Mov__Patrimo_3"/>
      <sheetName val="Dados_BLP3"/>
      <sheetName val="RETAIL_3"/>
      <sheetName val="Dozavos_IAE3"/>
      <sheetName val="Adf_par_resp2"/>
      <sheetName val="SUIVI_EFFECTIFS2"/>
      <sheetName val="EFFECT_2"/>
      <sheetName val="Vendas_Tons2"/>
      <sheetName val="C_Estr_2"/>
      <sheetName val="Lion_Baking_Powder_DOM2"/>
      <sheetName val="VOLUME_-_SOS2"/>
      <sheetName val="PRICE_ASSUMPTIONS_DOM2"/>
      <sheetName val="Buy_Group_Assignments2"/>
      <sheetName val="Costs_by_Req'd_Part_#_12-03-012"/>
      <sheetName val="Nominales_192"/>
      <sheetName val="UK_S2"/>
      <sheetName val="Costo_M_P_2"/>
      <sheetName val="ISLR_PNR2"/>
      <sheetName val="Axv_2"/>
      <sheetName val="FLUJO_EF_2"/>
      <sheetName val="Brand_2"/>
      <sheetName val="AM_Q3_15_90_days_Plan1"/>
      <sheetName val="Product_Views1"/>
      <sheetName val="Riepilogo_linee-direz_BUD"/>
      <sheetName val="xDL"/>
      <sheetName val="JANREAL"/>
      <sheetName val="Forecast Percent"/>
      <sheetName val="Send&amp;Retrieve"/>
      <sheetName val="_x005f_x005f_x005f_x005f_"/>
      <sheetName val="Data Setup"/>
      <sheetName val="Auditoria"/>
      <sheetName val="Service Line &amp; Service Offering"/>
      <sheetName val="CAPERFORM_$5"/>
      <sheetName val="depletion_sked_exLTC5"/>
      <sheetName val="Control_19995"/>
      <sheetName val="CONSUMO_MAT__Y_MAT__PRIMAS5"/>
      <sheetName val="Free_Cash_Flow_Rpt_5"/>
      <sheetName val="KF_Plants;_Calendar_weeks5"/>
      <sheetName val="File_Setting5"/>
      <sheetName val="QC_-_1a5"/>
      <sheetName val="PPV_Chart15"/>
      <sheetName val="PPV_by_BU_by_Category5"/>
      <sheetName val="Account_Group4"/>
      <sheetName val="Country_Key4"/>
      <sheetName val="Transportation_Zone4"/>
      <sheetName val="Adf_par_resp3"/>
      <sheetName val="TASA_DE_CAMBIO4"/>
      <sheetName val="Brand_Analysis_(1)4"/>
      <sheetName val="Worksheet_______(PASS_WORD_6504"/>
      <sheetName val="Anex_174"/>
      <sheetName val="impuestos_trim4"/>
      <sheetName val="CUENTAS_POR_COBRAR_NO_COMERCIA4"/>
      <sheetName val="Cedula_L_(I-4´12)4"/>
      <sheetName val="Mov__Patrimo_4"/>
      <sheetName val="Dados_BLP4"/>
      <sheetName val="RETAIL_4"/>
      <sheetName val="Dozavos_IAE4"/>
      <sheetName val="SUIVI_EFFECTIFS3"/>
      <sheetName val="EFFECT_3"/>
      <sheetName val="Vendas_Tons3"/>
      <sheetName val="C_Estr_3"/>
      <sheetName val="Lion_Baking_Powder_DOM3"/>
      <sheetName val="VOLUME_-_SOS3"/>
      <sheetName val="PRICE_ASSUMPTIONS_DOM3"/>
      <sheetName val="Buy_Group_Assignments3"/>
      <sheetName val="Costs_by_Req'd_Part_#_12-03-013"/>
      <sheetName val="Nominales_193"/>
      <sheetName val="UK_S3"/>
      <sheetName val="Costo_M_P_3"/>
      <sheetName val="ISLR_PNR3"/>
      <sheetName val="Axv_3"/>
      <sheetName val="FLUJO_EF_3"/>
      <sheetName val="Brand_3"/>
      <sheetName val="AM_Q3_15_90_days_Plan2"/>
      <sheetName val="April_Financial_Tracker"/>
      <sheetName val="Paros_Por_Falta_de_Material"/>
      <sheetName val="Product_Views2"/>
      <sheetName val="Riepilogo_linee-direz_BUD1"/>
      <sheetName val="Línea_1"/>
      <sheetName val="97RESULT"/>
      <sheetName val="Cost By Line"/>
      <sheetName val="BVREF"/>
      <sheetName val="US"/>
      <sheetName val="LIMA-CANTA"/>
      <sheetName val="Table (2)"/>
      <sheetName val="calc#lb"/>
      <sheetName val="calc%rev"/>
      <sheetName val="calc%netrev"/>
      <sheetName val="SOV tot"/>
      <sheetName val="lookup"/>
      <sheetName val="workable hours"/>
      <sheetName val="financial highlights"/>
      <sheetName val="staffing"/>
      <sheetName val="Workdays"/>
      <sheetName val="2000"/>
      <sheetName val="COST"/>
      <sheetName val="Library Procedures"/>
      <sheetName val="DATA"/>
      <sheetName val="Detail"/>
      <sheetName val="CFLOW"/>
      <sheetName val="MW"/>
      <sheetName val="CAPERFORM_$6"/>
      <sheetName val="QC_-_1a6"/>
      <sheetName val="Control_19996"/>
      <sheetName val="PPV_Chart16"/>
      <sheetName val="PPV_by_BU_by_Category6"/>
      <sheetName val="depletion_sked_exLTC6"/>
      <sheetName val="CONSUMO_MAT__Y_MAT__PRIMAS6"/>
      <sheetName val="Account_Group5"/>
      <sheetName val="Country_Key5"/>
      <sheetName val="Transportation_Zone5"/>
      <sheetName val="Free_Cash_Flow_Rpt_6"/>
      <sheetName val="KF_Plants;_Calendar_weeks6"/>
      <sheetName val="File_Setting6"/>
      <sheetName val="TASA_DE_CAMBIO5"/>
      <sheetName val="Brand_Analysis_(1)5"/>
      <sheetName val="Worksheet_______(PASS_WORD_6505"/>
      <sheetName val="Anex_175"/>
      <sheetName val="impuestos_trim5"/>
      <sheetName val="CUENTAS_POR_COBRAR_NO_COMERCIA5"/>
      <sheetName val="Cedula_L_(I-4´12)5"/>
      <sheetName val="Mov__Patrimo_5"/>
      <sheetName val="Dados_BLP5"/>
      <sheetName val="RETAIL_5"/>
      <sheetName val="Dozavos_IAE5"/>
      <sheetName val="Adf_par_resp4"/>
      <sheetName val="SUIVI_EFFECTIFS4"/>
      <sheetName val="EFFECT_4"/>
      <sheetName val="Vendas_Tons4"/>
      <sheetName val="C_Estr_4"/>
      <sheetName val="Lion_Baking_Powder_DOM4"/>
      <sheetName val="VOLUME_-_SOS4"/>
      <sheetName val="PRICE_ASSUMPTIONS_DOM4"/>
      <sheetName val="Buy_Group_Assignments4"/>
      <sheetName val="Costs_by_Req'd_Part_#_12-03-014"/>
      <sheetName val="Nominales_194"/>
      <sheetName val="UK_S4"/>
      <sheetName val="Costo_M_P_4"/>
      <sheetName val="ISLR_PNR4"/>
      <sheetName val="Axv_4"/>
      <sheetName val="FLUJO_EF_4"/>
      <sheetName val="Brand_4"/>
      <sheetName val="AM_Q3_15_90_days_Plan3"/>
      <sheetName val="Product_Views3"/>
      <sheetName val="April_Financial_Tracker1"/>
      <sheetName val="Paros_Por_Falta_de_Material1"/>
      <sheetName val="Riepilogo_linee-direz_BUD2"/>
      <sheetName val="Conciliación Sept 05"/>
      <sheetName val="CCC"/>
      <sheetName val="B-300"/>
      <sheetName val="Pub Rel"/>
      <sheetName val="FORECAST"/>
      <sheetName val="BUDGETS"/>
      <sheetName val="C.O.S."/>
      <sheetName val="INVENTORY"/>
      <sheetName val="LABOUR"/>
      <sheetName val="METH CHANGE"/>
      <sheetName val="OVERHEAD"/>
      <sheetName val="P.P.V."/>
      <sheetName val="Staff Labor"/>
      <sheetName val="Maint. &amp; Repair"/>
      <sheetName val="Fuel &amp; Chemicals"/>
      <sheetName val="Direct Support"/>
      <sheetName val="Direct Labor Expenses"/>
      <sheetName val="Subcontract Fee Calc."/>
      <sheetName val="Operator Fee Calc."/>
      <sheetName val="Thruputs"/>
      <sheetName val="CAPERFORM_$7"/>
      <sheetName val="Control_19997"/>
      <sheetName val="CONSUMO_MAT__Y_MAT__PRIMAS7"/>
      <sheetName val="depletion_sked_exLTC7"/>
      <sheetName val="Free_Cash_Flow_Rpt_7"/>
      <sheetName val="QC_-_1a7"/>
      <sheetName val="PPV_Chart17"/>
      <sheetName val="PPV_by_BU_by_Category7"/>
      <sheetName val="Account_Group6"/>
      <sheetName val="Country_Key6"/>
      <sheetName val="Transportation_Zone6"/>
      <sheetName val="KF_Plants;_Calendar_weeks7"/>
      <sheetName val="File_Setting7"/>
      <sheetName val="TASA_DE_CAMBIO6"/>
      <sheetName val="Brand_Analysis_(1)6"/>
      <sheetName val="Worksheet_______(PASS_WORD_6506"/>
      <sheetName val="Anex_176"/>
      <sheetName val="impuestos_trim6"/>
      <sheetName val="CUENTAS_POR_COBRAR_NO_COMERCIA6"/>
      <sheetName val="Cedula_L_(I-4´12)6"/>
      <sheetName val="Mov__Patrimo_6"/>
      <sheetName val="Dados_BLP6"/>
      <sheetName val="RETAIL_6"/>
      <sheetName val="Dozavos_IAE6"/>
      <sheetName val="Adf_par_resp5"/>
      <sheetName val="SUIVI_EFFECTIFS5"/>
      <sheetName val="EFFECT_5"/>
      <sheetName val="Vendas_Tons5"/>
      <sheetName val="C_Estr_5"/>
      <sheetName val="Buy_Group_Assignments5"/>
      <sheetName val="Costs_by_Req'd_Part_#_12-03-015"/>
      <sheetName val="Nominales_195"/>
      <sheetName val="UK_S5"/>
      <sheetName val="Lion_Baking_Powder_DOM5"/>
      <sheetName val="VOLUME_-_SOS5"/>
      <sheetName val="PRICE_ASSUMPTIONS_DOM5"/>
      <sheetName val="Costo_M_P_5"/>
      <sheetName val="ISLR_PNR5"/>
      <sheetName val="Axv_5"/>
      <sheetName val="FLUJO_EF_5"/>
      <sheetName val="Brand_5"/>
      <sheetName val="AM_Q3_15_90_days_Plan4"/>
      <sheetName val="Conciliación_Sept_05"/>
      <sheetName val="Pub_Rel"/>
      <sheetName val="Non-Statistical Sampling Master"/>
      <sheetName val="Two Step Revenue Testing Master"/>
      <sheetName val="Global Data"/>
      <sheetName val="PLANO AGOSTO OTROS ACTIVOS"/>
      <sheetName val="O1-5-1 Prov.Incobrab"/>
      <sheetName val="OFIDEMO"/>
      <sheetName val="XREF"/>
      <sheetName val="Detalle 31.10.03"/>
      <sheetName val="April_Financial_Tracker2"/>
      <sheetName val="Paros_Por_Falta_de_Material2"/>
      <sheetName val="Product_Views4"/>
      <sheetName val="Riepilogo_linee-direz_BUD3"/>
      <sheetName val="Línea_12"/>
      <sheetName val="Forecast_Percent1"/>
      <sheetName val="Data_Setup1"/>
      <sheetName val="Service_Line_&amp;_Service_Offerin1"/>
      <sheetName val="Cost_By_Line1"/>
      <sheetName val="Línea_11"/>
      <sheetName val="Forecast_Percent"/>
      <sheetName val="Data_Setup"/>
      <sheetName val="Service_Line_&amp;_Service_Offering"/>
      <sheetName val="Cost_By_Line"/>
      <sheetName val="CAPERFORM_$8"/>
      <sheetName val="Control_19998"/>
      <sheetName val="CONSUMO_MAT__Y_MAT__PRIMAS8"/>
      <sheetName val="depletion_sked_exLTC8"/>
      <sheetName val="QC_-_1a8"/>
      <sheetName val="PPV_Chart18"/>
      <sheetName val="PPV_by_BU_by_Category8"/>
      <sheetName val="Free_Cash_Flow_Rpt_8"/>
      <sheetName val="Account_Group7"/>
      <sheetName val="Country_Key7"/>
      <sheetName val="Transportation_Zone7"/>
      <sheetName val="KF_Plants;_Calendar_weeks8"/>
      <sheetName val="File_Setting8"/>
      <sheetName val="TASA_DE_CAMBIO7"/>
      <sheetName val="Brand_Analysis_(1)7"/>
      <sheetName val="Worksheet_______(PASS_WORD_6507"/>
      <sheetName val="Anex_177"/>
      <sheetName val="impuestos_trim7"/>
      <sheetName val="CUENTAS_POR_COBRAR_NO_COMERCIA7"/>
      <sheetName val="Cedula_L_(I-4´12)7"/>
      <sheetName val="Mov__Patrimo_7"/>
      <sheetName val="Dados_BLP7"/>
      <sheetName val="RETAIL_7"/>
      <sheetName val="Dozavos_IAE7"/>
      <sheetName val="Adf_par_resp6"/>
      <sheetName val="SUIVI_EFFECTIFS6"/>
      <sheetName val="EFFECT_6"/>
      <sheetName val="Vendas_Tons6"/>
      <sheetName val="C_Estr_6"/>
      <sheetName val="Lion_Baking_Powder_DOM6"/>
      <sheetName val="VOLUME_-_SOS6"/>
      <sheetName val="PRICE_ASSUMPTIONS_DOM6"/>
      <sheetName val="Buy_Group_Assignments6"/>
      <sheetName val="Costs_by_Req'd_Part_#_12-03-016"/>
      <sheetName val="Nominales_196"/>
      <sheetName val="UK_S6"/>
      <sheetName val="Costo_M_P_6"/>
      <sheetName val="ISLR_PNR6"/>
      <sheetName val="Axv_6"/>
      <sheetName val="FLUJO_EF_6"/>
      <sheetName val="Brand_6"/>
      <sheetName val="AM_Q3_15_90_days_Plan5"/>
      <sheetName val="April_Financial_Tracker3"/>
      <sheetName val="Paros_Por_Falta_de_Material3"/>
      <sheetName val="Product_Views5"/>
      <sheetName val="Riepilogo_linee-direz_BUD4"/>
      <sheetName val="Línea_13"/>
      <sheetName val="Forecast_Percent2"/>
      <sheetName val="Data_Setup2"/>
      <sheetName val="Service_Line_&amp;_Service_Offerin2"/>
      <sheetName val="Cost_By_Line2"/>
      <sheetName val="CAPERFORM_$9"/>
      <sheetName val="QC_-_1a9"/>
      <sheetName val="Control_19999"/>
      <sheetName val="PPV_Chart19"/>
      <sheetName val="PPV_by_BU_by_Category9"/>
      <sheetName val="depletion_sked_exLTC9"/>
      <sheetName val="CONSUMO_MAT__Y_MAT__PRIMAS9"/>
      <sheetName val="Account_Group8"/>
      <sheetName val="Country_Key8"/>
      <sheetName val="Transportation_Zone8"/>
      <sheetName val="Free_Cash_Flow_Rpt_9"/>
      <sheetName val="KF_Plants;_Calendar_weeks9"/>
      <sheetName val="File_Setting9"/>
      <sheetName val="TASA_DE_CAMBIO8"/>
      <sheetName val="Brand_Analysis_(1)8"/>
      <sheetName val="Worksheet_______(PASS_WORD_6508"/>
      <sheetName val="Anex_178"/>
      <sheetName val="impuestos_trim8"/>
      <sheetName val="CUENTAS_POR_COBRAR_NO_COMERCIA8"/>
      <sheetName val="Cedula_L_(I-4´12)8"/>
      <sheetName val="Mov__Patrimo_8"/>
      <sheetName val="Dados_BLP8"/>
      <sheetName val="RETAIL_8"/>
      <sheetName val="Dozavos_IAE8"/>
      <sheetName val="Adf_par_resp7"/>
      <sheetName val="SUIVI_EFFECTIFS7"/>
      <sheetName val="EFFECT_7"/>
      <sheetName val="Vendas_Tons7"/>
      <sheetName val="C_Estr_7"/>
      <sheetName val="Buy_Group_Assignments7"/>
      <sheetName val="Costs_by_Req'd_Part_#_12-03-017"/>
      <sheetName val="Nominales_197"/>
      <sheetName val="UK_S7"/>
      <sheetName val="Lion_Baking_Powder_DOM7"/>
      <sheetName val="VOLUME_-_SOS7"/>
      <sheetName val="PRICE_ASSUMPTIONS_DOM7"/>
      <sheetName val="Costo_M_P_7"/>
      <sheetName val="ISLR_PNR7"/>
      <sheetName val="Axv_7"/>
      <sheetName val="FLUJO_EF_7"/>
      <sheetName val="Brand_7"/>
      <sheetName val="AM_Q3_15_90_days_Plan6"/>
      <sheetName val="April_Financial_Tracker4"/>
      <sheetName val="Paros_Por_Falta_de_Material4"/>
      <sheetName val="Product_Views6"/>
      <sheetName val="Riepilogo_linee-direz_BUD5"/>
      <sheetName val="Línea_14"/>
      <sheetName val="Forecast_Percent3"/>
      <sheetName val="Data_Setup3"/>
      <sheetName val="Service_Line_&amp;_Service_Offerin3"/>
      <sheetName val="Cost_By_Line3"/>
      <sheetName val="SOV_tot"/>
      <sheetName val="workable_hours"/>
      <sheetName val="financial_highlights"/>
      <sheetName val="CAPERFORM_$10"/>
      <sheetName val="Control_199910"/>
      <sheetName val="CONSUMO_MAT__Y_MAT__PRIMAS10"/>
      <sheetName val="depletion_sked_exLTC10"/>
      <sheetName val="QC_-_1a10"/>
      <sheetName val="PPV_Chart110"/>
      <sheetName val="PPV_by_BU_by_Category10"/>
      <sheetName val="Free_Cash_Flow_Rpt_10"/>
      <sheetName val="Account_Group9"/>
      <sheetName val="Country_Key9"/>
      <sheetName val="Transportation_Zone9"/>
      <sheetName val="KF_Plants;_Calendar_weeks10"/>
      <sheetName val="File_Setting10"/>
      <sheetName val="TASA_DE_CAMBIO9"/>
      <sheetName val="Brand_Analysis_(1)9"/>
      <sheetName val="Worksheet_______(PASS_WORD_6509"/>
      <sheetName val="Anex_179"/>
      <sheetName val="impuestos_trim9"/>
      <sheetName val="CUENTAS_POR_COBRAR_NO_COMERCIA9"/>
      <sheetName val="Cedula_L_(I-4´12)9"/>
      <sheetName val="Mov__Patrimo_9"/>
      <sheetName val="Dados_BLP9"/>
      <sheetName val="RETAIL_9"/>
      <sheetName val="Dozavos_IAE9"/>
      <sheetName val="Adf_par_resp8"/>
      <sheetName val="SUIVI_EFFECTIFS8"/>
      <sheetName val="EFFECT_8"/>
      <sheetName val="Vendas_Tons8"/>
      <sheetName val="C_Estr_8"/>
      <sheetName val="Lion_Baking_Powder_DOM8"/>
      <sheetName val="VOLUME_-_SOS8"/>
      <sheetName val="PRICE_ASSUMPTIONS_DOM8"/>
      <sheetName val="Buy_Group_Assignments8"/>
      <sheetName val="Costs_by_Req'd_Part_#_12-03-018"/>
      <sheetName val="Nominales_198"/>
      <sheetName val="UK_S8"/>
      <sheetName val="Costo_M_P_8"/>
      <sheetName val="ISLR_PNR8"/>
      <sheetName val="Axv_8"/>
      <sheetName val="FLUJO_EF_8"/>
      <sheetName val="Brand_8"/>
      <sheetName val="AM_Q3_15_90_days_Plan7"/>
      <sheetName val="April_Financial_Tracker5"/>
      <sheetName val="Paros_Por_Falta_de_Material5"/>
      <sheetName val="Product_Views7"/>
      <sheetName val="Riepilogo_linee-direz_BUD6"/>
      <sheetName val="Línea_15"/>
      <sheetName val="Forecast_Percent4"/>
      <sheetName val="Data_Setup4"/>
      <sheetName val="Service_Line_&amp;_Service_Offerin4"/>
      <sheetName val="Cost_By_Line4"/>
      <sheetName val="CAPERFORM_$11"/>
      <sheetName val="QC_-_1a11"/>
      <sheetName val="Control_199911"/>
      <sheetName val="PPV_Chart111"/>
      <sheetName val="PPV_by_BU_by_Category11"/>
      <sheetName val="depletion_sked_exLTC11"/>
      <sheetName val="CONSUMO_MAT__Y_MAT__PRIMAS11"/>
      <sheetName val="Account_Group10"/>
      <sheetName val="Country_Key10"/>
      <sheetName val="Transportation_Zone10"/>
      <sheetName val="Free_Cash_Flow_Rpt_11"/>
      <sheetName val="KF_Plants;_Calendar_weeks11"/>
      <sheetName val="File_Setting11"/>
      <sheetName val="TASA_DE_CAMBIO10"/>
      <sheetName val="Brand_Analysis_(1)10"/>
      <sheetName val="Worksheet_______(PASS_WORD_6510"/>
      <sheetName val="Anex_1710"/>
      <sheetName val="impuestos_trim10"/>
      <sheetName val="CUENTAS_POR_COBRAR_NO_COMERCI10"/>
      <sheetName val="Cedula_L_(I-4´12)10"/>
      <sheetName val="Mov__Patrimo_10"/>
      <sheetName val="Dados_BLP10"/>
      <sheetName val="RETAIL_10"/>
      <sheetName val="Dozavos_IAE10"/>
      <sheetName val="Adf_par_resp9"/>
      <sheetName val="SUIVI_EFFECTIFS9"/>
      <sheetName val="EFFECT_9"/>
      <sheetName val="Vendas_Tons9"/>
      <sheetName val="C_Estr_9"/>
      <sheetName val="Buy_Group_Assignments9"/>
      <sheetName val="Costs_by_Req'd_Part_#_12-03-019"/>
      <sheetName val="Nominales_199"/>
      <sheetName val="UK_S9"/>
      <sheetName val="Lion_Baking_Powder_DOM9"/>
      <sheetName val="VOLUME_-_SOS9"/>
      <sheetName val="PRICE_ASSUMPTIONS_DOM9"/>
      <sheetName val="Costo_M_P_9"/>
      <sheetName val="ISLR_PNR9"/>
      <sheetName val="Axv_9"/>
      <sheetName val="FLUJO_EF_9"/>
      <sheetName val="Brand_9"/>
      <sheetName val="AM_Q3_15_90_days_Plan8"/>
      <sheetName val="April_Financial_Tracker6"/>
      <sheetName val="Paros_Por_Falta_de_Material6"/>
      <sheetName val="Product_Views8"/>
      <sheetName val="Riepilogo_linee-direz_BUD7"/>
      <sheetName val="Línea_16"/>
      <sheetName val="Forecast_Percent5"/>
      <sheetName val="Data_Setup5"/>
      <sheetName val="Service_Line_&amp;_Service_Offerin5"/>
      <sheetName val="Cost_By_Line5"/>
      <sheetName val="SOV_tot1"/>
      <sheetName val="workable_hours1"/>
      <sheetName val="financial_highlights1"/>
      <sheetName val="CAPERFORM_$12"/>
      <sheetName val="QC_-_1a12"/>
      <sheetName val="Control_199912"/>
      <sheetName val="PPV_Chart112"/>
      <sheetName val="PPV_by_BU_by_Category12"/>
      <sheetName val="depletion_sked_exLTC12"/>
      <sheetName val="CONSUMO_MAT__Y_MAT__PRIMAS12"/>
      <sheetName val="Account_Group11"/>
      <sheetName val="Country_Key11"/>
      <sheetName val="Transportation_Zone11"/>
      <sheetName val="Free_Cash_Flow_Rpt_12"/>
      <sheetName val="KF_Plants;_Calendar_weeks12"/>
      <sheetName val="File_Setting12"/>
      <sheetName val="TASA_DE_CAMBIO11"/>
      <sheetName val="Brand_Analysis_(1)11"/>
      <sheetName val="Worksheet_______(PASS_WORD_6511"/>
      <sheetName val="Anex_1711"/>
      <sheetName val="impuestos_trim11"/>
      <sheetName val="CUENTAS_POR_COBRAR_NO_COMERCI11"/>
      <sheetName val="Cedula_L_(I-4´12)11"/>
      <sheetName val="Mov__Patrimo_11"/>
      <sheetName val="Dados_BLP11"/>
      <sheetName val="RETAIL_11"/>
      <sheetName val="Dozavos_IAE11"/>
      <sheetName val="Adf_par_resp10"/>
      <sheetName val="SUIVI_EFFECTIFS10"/>
      <sheetName val="EFFECT_10"/>
      <sheetName val="Vendas_Tons10"/>
      <sheetName val="C_Estr_10"/>
      <sheetName val="Buy_Group_Assignments10"/>
      <sheetName val="Costs_by_Req'd_Part_#_12-03-010"/>
      <sheetName val="Nominales_1910"/>
      <sheetName val="UK_S10"/>
      <sheetName val="Lion_Baking_Powder_DOM10"/>
      <sheetName val="VOLUME_-_SOS10"/>
      <sheetName val="PRICE_ASSUMPTIONS_DOM10"/>
      <sheetName val="Costo_M_P_10"/>
      <sheetName val="ISLR_PNR10"/>
      <sheetName val="Axv_10"/>
      <sheetName val="FLUJO_EF_10"/>
      <sheetName val="Brand_10"/>
      <sheetName val="AM_Q3_15_90_days_Plan9"/>
      <sheetName val="April_Financial_Tracker7"/>
      <sheetName val="Paros_Por_Falta_de_Material7"/>
      <sheetName val="Product_Views9"/>
      <sheetName val="Riepilogo_linee-direz_BUD8"/>
      <sheetName val="Línea_17"/>
      <sheetName val="Forecast_Percent6"/>
      <sheetName val="Data_Setup6"/>
      <sheetName val="Service_Line_&amp;_Service_Offerin6"/>
      <sheetName val="Cost_By_Line6"/>
      <sheetName val="SOV_tot2"/>
      <sheetName val="workable_hours2"/>
      <sheetName val="financial_highlights2"/>
      <sheetName val="Projeção estoque CDSJP"/>
      <sheetName val="Trnd"/>
      <sheetName val="CAPERFORM_$13"/>
      <sheetName val="QC_-_1a13"/>
      <sheetName val="Control_199913"/>
      <sheetName val="PPV_Chart113"/>
      <sheetName val="PPV_by_BU_by_Category13"/>
      <sheetName val="depletion_sked_exLTC13"/>
      <sheetName val="CONSUMO_MAT__Y_MAT__PRIMAS13"/>
      <sheetName val="Account_Group12"/>
      <sheetName val="Country_Key12"/>
      <sheetName val="Transportation_Zone12"/>
      <sheetName val="Free_Cash_Flow_Rpt_13"/>
      <sheetName val="KF_Plants;_Calendar_weeks13"/>
      <sheetName val="File_Setting13"/>
      <sheetName val="TASA_DE_CAMBIO12"/>
      <sheetName val="Brand_Analysis_(1)12"/>
      <sheetName val="Worksheet_______(PASS_WORD_6512"/>
      <sheetName val="Anex_1712"/>
      <sheetName val="impuestos_trim12"/>
      <sheetName val="CUENTAS_POR_COBRAR_NO_COMERCI12"/>
      <sheetName val="Cedula_L_(I-4´12)12"/>
      <sheetName val="Mov__Patrimo_12"/>
      <sheetName val="Dados_BLP12"/>
      <sheetName val="RETAIL_12"/>
      <sheetName val="Dozavos_IAE12"/>
      <sheetName val="Adf_par_resp11"/>
      <sheetName val="SUIVI_EFFECTIFS11"/>
      <sheetName val="EFFECT_11"/>
      <sheetName val="Vendas_Tons11"/>
      <sheetName val="C_Estr_11"/>
      <sheetName val="Buy_Group_Assignments11"/>
      <sheetName val="Costs_by_Req'd_Part_#_12-03-020"/>
      <sheetName val="Nominales_1911"/>
      <sheetName val="UK_S11"/>
      <sheetName val="Lion_Baking_Powder_DOM11"/>
      <sheetName val="VOLUME_-_SOS11"/>
      <sheetName val="PRICE_ASSUMPTIONS_DOM11"/>
      <sheetName val="Costo_M_P_11"/>
      <sheetName val="ISLR_PNR11"/>
      <sheetName val="Axv_11"/>
      <sheetName val="FLUJO_EF_11"/>
      <sheetName val="Brand_11"/>
      <sheetName val="AM_Q3_15_90_days_Plan10"/>
      <sheetName val="April_Financial_Tracker8"/>
      <sheetName val="Paros_Por_Falta_de_Material8"/>
      <sheetName val="Product_Views10"/>
      <sheetName val="Riepilogo_linee-direz_BUD9"/>
      <sheetName val="Línea_18"/>
      <sheetName val="Forecast_Percent7"/>
      <sheetName val="Data_Setup7"/>
      <sheetName val="Service_Line_&amp;_Service_Offerin7"/>
      <sheetName val="Cost_By_Line7"/>
      <sheetName val="SOV_tot3"/>
      <sheetName val="workable_hours3"/>
      <sheetName val="financial_highlights3"/>
      <sheetName val="CAPERFORM_$14"/>
      <sheetName val="QC_-_1a14"/>
      <sheetName val="Control_199914"/>
      <sheetName val="PPV_Chart114"/>
      <sheetName val="PPV_by_BU_by_Category14"/>
      <sheetName val="depletion_sked_exLTC14"/>
      <sheetName val="CONSUMO_MAT__Y_MAT__PRIMAS14"/>
      <sheetName val="Account_Group13"/>
      <sheetName val="Country_Key13"/>
      <sheetName val="Transportation_Zone13"/>
      <sheetName val="Free_Cash_Flow_Rpt_14"/>
      <sheetName val="KF_Plants;_Calendar_weeks14"/>
      <sheetName val="File_Setting14"/>
      <sheetName val="TASA_DE_CAMBIO13"/>
      <sheetName val="Brand_Analysis_(1)13"/>
      <sheetName val="Worksheet_______(PASS_WORD_6513"/>
      <sheetName val="Anex_1713"/>
      <sheetName val="impuestos_trim13"/>
      <sheetName val="CUENTAS_POR_COBRAR_NO_COMERCI13"/>
      <sheetName val="Cedula_L_(I-4´12)13"/>
      <sheetName val="Mov__Patrimo_13"/>
      <sheetName val="Dados_BLP13"/>
      <sheetName val="RETAIL_13"/>
      <sheetName val="Dozavos_IAE13"/>
      <sheetName val="Adf_par_resp12"/>
      <sheetName val="SUIVI_EFFECTIFS12"/>
      <sheetName val="EFFECT_12"/>
      <sheetName val="Vendas_Tons12"/>
      <sheetName val="C_Estr_12"/>
      <sheetName val="Buy_Group_Assignments12"/>
      <sheetName val="Costs_by_Req'd_Part_#_12-03-021"/>
      <sheetName val="Nominales_1912"/>
      <sheetName val="UK_S12"/>
      <sheetName val="Lion_Baking_Powder_DOM12"/>
      <sheetName val="VOLUME_-_SOS12"/>
      <sheetName val="PRICE_ASSUMPTIONS_DOM12"/>
      <sheetName val="Costo_M_P_12"/>
      <sheetName val="ISLR_PNR12"/>
      <sheetName val="Axv_12"/>
      <sheetName val="FLUJO_EF_12"/>
      <sheetName val="Brand_12"/>
      <sheetName val="AM_Q3_15_90_days_Plan11"/>
      <sheetName val="April_Financial_Tracker9"/>
      <sheetName val="Paros_Por_Falta_de_Material9"/>
      <sheetName val="Product_Views11"/>
      <sheetName val="Riepilogo_linee-direz_BUD10"/>
      <sheetName val="Línea_19"/>
      <sheetName val="Forecast_Percent8"/>
      <sheetName val="Data_Setup8"/>
      <sheetName val="Service_Line_&amp;_Service_Offerin8"/>
      <sheetName val="Cost_By_Line8"/>
      <sheetName val="SOV_tot4"/>
      <sheetName val="workable_hours4"/>
      <sheetName val="financial_highlights4"/>
      <sheetName val="CAPERFORM_$18"/>
      <sheetName val="QC_-_1a18"/>
      <sheetName val="Control_199918"/>
      <sheetName val="PPV_Chart118"/>
      <sheetName val="PPV_by_BU_by_Category18"/>
      <sheetName val="depletion_sked_exLTC18"/>
      <sheetName val="CONSUMO_MAT__Y_MAT__PRIMAS18"/>
      <sheetName val="Account_Group17"/>
      <sheetName val="Country_Key17"/>
      <sheetName val="Transportation_Zone17"/>
      <sheetName val="Free_Cash_Flow_Rpt_18"/>
      <sheetName val="KF_Plants;_Calendar_weeks18"/>
      <sheetName val="File_Setting18"/>
      <sheetName val="TASA_DE_CAMBIO17"/>
      <sheetName val="Brand_Analysis_(1)17"/>
      <sheetName val="Worksheet_______(PASS_WORD_6517"/>
      <sheetName val="Anex_1717"/>
      <sheetName val="impuestos_trim17"/>
      <sheetName val="CUENTAS_POR_COBRAR_NO_COMERCI17"/>
      <sheetName val="Cedula_L_(I-4´12)17"/>
      <sheetName val="Mov__Patrimo_17"/>
      <sheetName val="Dados_BLP17"/>
      <sheetName val="RETAIL_17"/>
      <sheetName val="Dozavos_IAE17"/>
      <sheetName val="Adf_par_resp16"/>
      <sheetName val="SUIVI_EFFECTIFS16"/>
      <sheetName val="EFFECT_16"/>
      <sheetName val="Vendas_Tons16"/>
      <sheetName val="C_Estr_16"/>
      <sheetName val="Buy_Group_Assignments16"/>
      <sheetName val="Costs_by_Req'd_Part_#_12-03-025"/>
      <sheetName val="Nominales_1916"/>
      <sheetName val="UK_S16"/>
      <sheetName val="Lion_Baking_Powder_DOM16"/>
      <sheetName val="VOLUME_-_SOS16"/>
      <sheetName val="PRICE_ASSUMPTIONS_DOM16"/>
      <sheetName val="Costo_M_P_16"/>
      <sheetName val="ISLR_PNR16"/>
      <sheetName val="Axv_16"/>
      <sheetName val="FLUJO_EF_16"/>
      <sheetName val="Brand_16"/>
      <sheetName val="AM_Q3_15_90_days_Plan15"/>
      <sheetName val="April_Financial_Tracker13"/>
      <sheetName val="Paros_Por_Falta_de_Material13"/>
      <sheetName val="Product_Views15"/>
      <sheetName val="Riepilogo_linee-direz_BUD14"/>
      <sheetName val="Línea_113"/>
      <sheetName val="Forecast_Percent12"/>
      <sheetName val="Data_Setup12"/>
      <sheetName val="Service_Line_&amp;_Service_Offeri12"/>
      <sheetName val="Cost_By_Line12"/>
      <sheetName val="SOV_tot8"/>
      <sheetName val="workable_hours8"/>
      <sheetName val="financial_highlights8"/>
      <sheetName val="CAPERFORM_$15"/>
      <sheetName val="QC_-_1a15"/>
      <sheetName val="Control_199915"/>
      <sheetName val="PPV_Chart115"/>
      <sheetName val="PPV_by_BU_by_Category15"/>
      <sheetName val="depletion_sked_exLTC15"/>
      <sheetName val="CONSUMO_MAT__Y_MAT__PRIMAS15"/>
      <sheetName val="Account_Group14"/>
      <sheetName val="Country_Key14"/>
      <sheetName val="Transportation_Zone14"/>
      <sheetName val="Free_Cash_Flow_Rpt_15"/>
      <sheetName val="KF_Plants;_Calendar_weeks15"/>
      <sheetName val="File_Setting15"/>
      <sheetName val="TASA_DE_CAMBIO14"/>
      <sheetName val="Brand_Analysis_(1)14"/>
      <sheetName val="Worksheet_______(PASS_WORD_6514"/>
      <sheetName val="Anex_1714"/>
      <sheetName val="impuestos_trim14"/>
      <sheetName val="CUENTAS_POR_COBRAR_NO_COMERCI14"/>
      <sheetName val="Cedula_L_(I-4´12)14"/>
      <sheetName val="Mov__Patrimo_14"/>
      <sheetName val="Dados_BLP14"/>
      <sheetName val="RETAIL_14"/>
      <sheetName val="Dozavos_IAE14"/>
      <sheetName val="Adf_par_resp13"/>
      <sheetName val="SUIVI_EFFECTIFS13"/>
      <sheetName val="EFFECT_13"/>
      <sheetName val="Vendas_Tons13"/>
      <sheetName val="C_Estr_13"/>
      <sheetName val="Buy_Group_Assignments13"/>
      <sheetName val="Costs_by_Req'd_Part_#_12-03-022"/>
      <sheetName val="Nominales_1913"/>
      <sheetName val="UK_S13"/>
      <sheetName val="Lion_Baking_Powder_DOM13"/>
      <sheetName val="VOLUME_-_SOS13"/>
      <sheetName val="PRICE_ASSUMPTIONS_DOM13"/>
      <sheetName val="Costo_M_P_13"/>
      <sheetName val="ISLR_PNR13"/>
      <sheetName val="Axv_13"/>
      <sheetName val="FLUJO_EF_13"/>
      <sheetName val="Brand_13"/>
      <sheetName val="AM_Q3_15_90_days_Plan12"/>
      <sheetName val="April_Financial_Tracker10"/>
      <sheetName val="Paros_Por_Falta_de_Material10"/>
      <sheetName val="Product_Views12"/>
      <sheetName val="Riepilogo_linee-direz_BUD11"/>
      <sheetName val="Línea_110"/>
      <sheetName val="Forecast_Percent9"/>
      <sheetName val="Data_Setup9"/>
      <sheetName val="Service_Line_&amp;_Service_Offerin9"/>
      <sheetName val="Cost_By_Line9"/>
      <sheetName val="SOV_tot5"/>
      <sheetName val="workable_hours5"/>
      <sheetName val="financial_highlights5"/>
      <sheetName val="CAPERFORM_$16"/>
      <sheetName val="QC_-_1a16"/>
      <sheetName val="Control_199916"/>
      <sheetName val="PPV_Chart116"/>
      <sheetName val="PPV_by_BU_by_Category16"/>
      <sheetName val="depletion_sked_exLTC16"/>
      <sheetName val="CONSUMO_MAT__Y_MAT__PRIMAS16"/>
      <sheetName val="Account_Group15"/>
      <sheetName val="Country_Key15"/>
      <sheetName val="Transportation_Zone15"/>
      <sheetName val="Free_Cash_Flow_Rpt_16"/>
      <sheetName val="KF_Plants;_Calendar_weeks16"/>
      <sheetName val="File_Setting16"/>
      <sheetName val="TASA_DE_CAMBIO15"/>
      <sheetName val="Brand_Analysis_(1)15"/>
      <sheetName val="Worksheet_______(PASS_WORD_6515"/>
      <sheetName val="Anex_1715"/>
      <sheetName val="impuestos_trim15"/>
      <sheetName val="CUENTAS_POR_COBRAR_NO_COMERCI15"/>
      <sheetName val="Cedula_L_(I-4´12)15"/>
      <sheetName val="Mov__Patrimo_15"/>
      <sheetName val="Dados_BLP15"/>
      <sheetName val="RETAIL_15"/>
      <sheetName val="Dozavos_IAE15"/>
      <sheetName val="Adf_par_resp14"/>
      <sheetName val="SUIVI_EFFECTIFS14"/>
      <sheetName val="EFFECT_14"/>
      <sheetName val="Vendas_Tons14"/>
      <sheetName val="C_Estr_14"/>
      <sheetName val="Buy_Group_Assignments14"/>
      <sheetName val="Costs_by_Req'd_Part_#_12-03-023"/>
      <sheetName val="Nominales_1914"/>
      <sheetName val="UK_S14"/>
      <sheetName val="Lion_Baking_Powder_DOM14"/>
      <sheetName val="VOLUME_-_SOS14"/>
      <sheetName val="PRICE_ASSUMPTIONS_DOM14"/>
      <sheetName val="Costo_M_P_14"/>
      <sheetName val="ISLR_PNR14"/>
      <sheetName val="Axv_14"/>
      <sheetName val="FLUJO_EF_14"/>
      <sheetName val="Brand_14"/>
      <sheetName val="AM_Q3_15_90_days_Plan13"/>
      <sheetName val="April_Financial_Tracker11"/>
      <sheetName val="Paros_Por_Falta_de_Material11"/>
      <sheetName val="Product_Views13"/>
      <sheetName val="Riepilogo_linee-direz_BUD12"/>
      <sheetName val="Línea_111"/>
      <sheetName val="Forecast_Percent10"/>
      <sheetName val="Data_Setup10"/>
      <sheetName val="Service_Line_&amp;_Service_Offeri10"/>
      <sheetName val="Cost_By_Line10"/>
      <sheetName val="SOV_tot6"/>
      <sheetName val="workable_hours6"/>
      <sheetName val="financial_highlights6"/>
      <sheetName val="CAPERFORM_$17"/>
      <sheetName val="QC_-_1a17"/>
      <sheetName val="Control_199917"/>
      <sheetName val="PPV_Chart117"/>
      <sheetName val="PPV_by_BU_by_Category17"/>
      <sheetName val="depletion_sked_exLTC17"/>
      <sheetName val="CONSUMO_MAT__Y_MAT__PRIMAS17"/>
      <sheetName val="Account_Group16"/>
      <sheetName val="Country_Key16"/>
      <sheetName val="Transportation_Zone16"/>
      <sheetName val="Free_Cash_Flow_Rpt_17"/>
      <sheetName val="KF_Plants;_Calendar_weeks17"/>
      <sheetName val="File_Setting17"/>
      <sheetName val="TASA_DE_CAMBIO16"/>
      <sheetName val="Brand_Analysis_(1)16"/>
      <sheetName val="Worksheet_______(PASS_WORD_6516"/>
      <sheetName val="Anex_1716"/>
      <sheetName val="impuestos_trim16"/>
      <sheetName val="CUENTAS_POR_COBRAR_NO_COMERCI16"/>
      <sheetName val="Cedula_L_(I-4´12)16"/>
      <sheetName val="Mov__Patrimo_16"/>
      <sheetName val="Dados_BLP16"/>
      <sheetName val="RETAIL_16"/>
      <sheetName val="Dozavos_IAE16"/>
      <sheetName val="Adf_par_resp15"/>
      <sheetName val="SUIVI_EFFECTIFS15"/>
      <sheetName val="EFFECT_15"/>
      <sheetName val="Vendas_Tons15"/>
      <sheetName val="C_Estr_15"/>
      <sheetName val="Buy_Group_Assignments15"/>
      <sheetName val="Costs_by_Req'd_Part_#_12-03-024"/>
      <sheetName val="Nominales_1915"/>
      <sheetName val="UK_S15"/>
      <sheetName val="Lion_Baking_Powder_DOM15"/>
      <sheetName val="VOLUME_-_SOS15"/>
      <sheetName val="PRICE_ASSUMPTIONS_DOM15"/>
      <sheetName val="Costo_M_P_15"/>
      <sheetName val="ISLR_PNR15"/>
      <sheetName val="Axv_15"/>
      <sheetName val="FLUJO_EF_15"/>
      <sheetName val="Brand_15"/>
      <sheetName val="AM_Q3_15_90_days_Plan14"/>
      <sheetName val="April_Financial_Tracker12"/>
      <sheetName val="Paros_Por_Falta_de_Material12"/>
      <sheetName val="Product_Views14"/>
      <sheetName val="Riepilogo_linee-direz_BUD13"/>
      <sheetName val="Línea_112"/>
      <sheetName val="Forecast_Percent11"/>
      <sheetName val="Data_Setup11"/>
      <sheetName val="Service_Line_&amp;_Service_Offeri11"/>
      <sheetName val="Cost_By_Line11"/>
      <sheetName val="SOV_tot7"/>
      <sheetName val="workable_hours7"/>
      <sheetName val="financial_highlights7"/>
      <sheetName val="CAPERFORM_$19"/>
      <sheetName val="QC_-_1a19"/>
      <sheetName val="Control_199919"/>
      <sheetName val="PPV_Chart119"/>
      <sheetName val="PPV_by_BU_by_Category19"/>
      <sheetName val="depletion_sked_exLTC19"/>
      <sheetName val="CONSUMO_MAT__Y_MAT__PRIMAS19"/>
      <sheetName val="Account_Group18"/>
      <sheetName val="Country_Key18"/>
      <sheetName val="Transportation_Zone18"/>
      <sheetName val="Free_Cash_Flow_Rpt_19"/>
      <sheetName val="KF_Plants;_Calendar_weeks19"/>
      <sheetName val="File_Setting19"/>
      <sheetName val="TASA_DE_CAMBIO18"/>
      <sheetName val="Brand_Analysis_(1)18"/>
      <sheetName val="Worksheet_______(PASS_WORD_6518"/>
      <sheetName val="Anex_1718"/>
      <sheetName val="impuestos_trim18"/>
      <sheetName val="CUENTAS_POR_COBRAR_NO_COMERCI18"/>
      <sheetName val="Cedula_L_(I-4´12)18"/>
      <sheetName val="Mov__Patrimo_18"/>
      <sheetName val="Dados_BLP18"/>
      <sheetName val="RETAIL_18"/>
      <sheetName val="Dozavos_IAE18"/>
      <sheetName val="Adf_par_resp17"/>
      <sheetName val="SUIVI_EFFECTIFS17"/>
      <sheetName val="EFFECT_17"/>
      <sheetName val="Vendas_Tons17"/>
      <sheetName val="C_Estr_17"/>
      <sheetName val="Buy_Group_Assignments17"/>
      <sheetName val="Costs_by_Req'd_Part_#_12-03-026"/>
      <sheetName val="Nominales_1917"/>
      <sheetName val="UK_S17"/>
      <sheetName val="Lion_Baking_Powder_DOM17"/>
      <sheetName val="VOLUME_-_SOS17"/>
      <sheetName val="PRICE_ASSUMPTIONS_DOM17"/>
      <sheetName val="Costo_M_P_17"/>
      <sheetName val="ISLR_PNR17"/>
      <sheetName val="Axv_17"/>
      <sheetName val="FLUJO_EF_17"/>
      <sheetName val="Brand_17"/>
      <sheetName val="AM_Q3_15_90_days_Plan16"/>
      <sheetName val="April_Financial_Tracker14"/>
      <sheetName val="Paros_Por_Falta_de_Material14"/>
      <sheetName val="Product_Views16"/>
      <sheetName val="Riepilogo_linee-direz_BUD15"/>
      <sheetName val="Línea_114"/>
      <sheetName val="Forecast_Percent13"/>
      <sheetName val="Data_Setup13"/>
      <sheetName val="Service_Line_&amp;_Service_Offeri13"/>
      <sheetName val="Cost_By_Line13"/>
      <sheetName val="SOV_tot9"/>
      <sheetName val="workable_hours9"/>
      <sheetName val="financial_highlights9"/>
      <sheetName val="CAPERFORM_$22"/>
      <sheetName val="QC_-_1a22"/>
      <sheetName val="Control_199922"/>
      <sheetName val="PPV_Chart122"/>
      <sheetName val="PPV_by_BU_by_Category22"/>
      <sheetName val="depletion_sked_exLTC22"/>
      <sheetName val="CONSUMO_MAT__Y_MAT__PRIMAS22"/>
      <sheetName val="Account_Group21"/>
      <sheetName val="Country_Key21"/>
      <sheetName val="Transportation_Zone21"/>
      <sheetName val="Free_Cash_Flow_Rpt_22"/>
      <sheetName val="KF_Plants;_Calendar_weeks22"/>
      <sheetName val="File_Setting22"/>
      <sheetName val="TASA_DE_CAMBIO21"/>
      <sheetName val="Brand_Analysis_(1)21"/>
      <sheetName val="Worksheet_______(PASS_WORD_6521"/>
      <sheetName val="Anex_1721"/>
      <sheetName val="impuestos_trim21"/>
      <sheetName val="CUENTAS_POR_COBRAR_NO_COMERCI21"/>
      <sheetName val="Cedula_L_(I-4´12)21"/>
      <sheetName val="Mov__Patrimo_21"/>
      <sheetName val="Dados_BLP21"/>
      <sheetName val="RETAIL_21"/>
      <sheetName val="Dozavos_IAE21"/>
      <sheetName val="Adf_par_resp20"/>
      <sheetName val="SUIVI_EFFECTIFS20"/>
      <sheetName val="EFFECT_20"/>
      <sheetName val="Vendas_Tons20"/>
      <sheetName val="C_Estr_20"/>
      <sheetName val="Buy_Group_Assignments20"/>
      <sheetName val="Costs_by_Req'd_Part_#_12-03-029"/>
      <sheetName val="Nominales_1920"/>
      <sheetName val="UK_S20"/>
      <sheetName val="Lion_Baking_Powder_DOM20"/>
      <sheetName val="VOLUME_-_SOS20"/>
      <sheetName val="PRICE_ASSUMPTIONS_DOM20"/>
      <sheetName val="Costo_M_P_20"/>
      <sheetName val="ISLR_PNR20"/>
      <sheetName val="Axv_20"/>
      <sheetName val="FLUJO_EF_20"/>
      <sheetName val="Brand_20"/>
      <sheetName val="AM_Q3_15_90_days_Plan19"/>
      <sheetName val="April_Financial_Tracker17"/>
      <sheetName val="Paros_Por_Falta_de_Material17"/>
      <sheetName val="Product_Views19"/>
      <sheetName val="Riepilogo_linee-direz_BUD18"/>
      <sheetName val="Línea_117"/>
      <sheetName val="Forecast_Percent16"/>
      <sheetName val="Data_Setup16"/>
      <sheetName val="Service_Line_&amp;_Service_Offeri16"/>
      <sheetName val="Cost_By_Line16"/>
      <sheetName val="SOV_tot12"/>
      <sheetName val="workable_hours12"/>
      <sheetName val="financial_highlights12"/>
      <sheetName val="CAPERFORM_$21"/>
      <sheetName val="QC_-_1a21"/>
      <sheetName val="Control_199921"/>
      <sheetName val="PPV_Chart121"/>
      <sheetName val="PPV_by_BU_by_Category21"/>
      <sheetName val="depletion_sked_exLTC21"/>
      <sheetName val="CONSUMO_MAT__Y_MAT__PRIMAS21"/>
      <sheetName val="Account_Group20"/>
      <sheetName val="Country_Key20"/>
      <sheetName val="Transportation_Zone20"/>
      <sheetName val="Free_Cash_Flow_Rpt_21"/>
      <sheetName val="KF_Plants;_Calendar_weeks21"/>
      <sheetName val="File_Setting21"/>
      <sheetName val="TASA_DE_CAMBIO20"/>
      <sheetName val="Brand_Analysis_(1)20"/>
      <sheetName val="Worksheet_______(PASS_WORD_6520"/>
      <sheetName val="Anex_1720"/>
      <sheetName val="impuestos_trim20"/>
      <sheetName val="CUENTAS_POR_COBRAR_NO_COMERCI20"/>
      <sheetName val="Cedula_L_(I-4´12)20"/>
      <sheetName val="Mov__Patrimo_20"/>
      <sheetName val="Dados_BLP20"/>
      <sheetName val="RETAIL_20"/>
      <sheetName val="Dozavos_IAE20"/>
      <sheetName val="Adf_par_resp19"/>
      <sheetName val="SUIVI_EFFECTIFS19"/>
      <sheetName val="EFFECT_19"/>
      <sheetName val="Vendas_Tons19"/>
      <sheetName val="C_Estr_19"/>
      <sheetName val="Buy_Group_Assignments19"/>
      <sheetName val="Costs_by_Req'd_Part_#_12-03-028"/>
      <sheetName val="Nominales_1919"/>
      <sheetName val="UK_S19"/>
      <sheetName val="Lion_Baking_Powder_DOM19"/>
      <sheetName val="VOLUME_-_SOS19"/>
      <sheetName val="PRICE_ASSUMPTIONS_DOM19"/>
      <sheetName val="Costo_M_P_19"/>
      <sheetName val="ISLR_PNR19"/>
      <sheetName val="Axv_19"/>
      <sheetName val="FLUJO_EF_19"/>
      <sheetName val="Brand_19"/>
      <sheetName val="AM_Q3_15_90_days_Plan18"/>
      <sheetName val="April_Financial_Tracker16"/>
      <sheetName val="Paros_Por_Falta_de_Material16"/>
      <sheetName val="Product_Views18"/>
      <sheetName val="Riepilogo_linee-direz_BUD17"/>
      <sheetName val="Línea_116"/>
      <sheetName val="Forecast_Percent15"/>
      <sheetName val="Data_Setup15"/>
      <sheetName val="Service_Line_&amp;_Service_Offeri15"/>
      <sheetName val="Cost_By_Line15"/>
      <sheetName val="SOV_tot11"/>
      <sheetName val="workable_hours11"/>
      <sheetName val="financial_highlights11"/>
      <sheetName val="CAPERFORM_$20"/>
      <sheetName val="QC_-_1a20"/>
      <sheetName val="Control_199920"/>
      <sheetName val="PPV_Chart120"/>
      <sheetName val="PPV_by_BU_by_Category20"/>
      <sheetName val="depletion_sked_exLTC20"/>
      <sheetName val="CONSUMO_MAT__Y_MAT__PRIMAS20"/>
      <sheetName val="Account_Group19"/>
      <sheetName val="Country_Key19"/>
      <sheetName val="Transportation_Zone19"/>
      <sheetName val="Free_Cash_Flow_Rpt_20"/>
      <sheetName val="KF_Plants;_Calendar_weeks20"/>
      <sheetName val="File_Setting20"/>
      <sheetName val="TASA_DE_CAMBIO19"/>
      <sheetName val="Brand_Analysis_(1)19"/>
      <sheetName val="Worksheet_______(PASS_WORD_6519"/>
      <sheetName val="Anex_1719"/>
      <sheetName val="impuestos_trim19"/>
      <sheetName val="CUENTAS_POR_COBRAR_NO_COMERCI19"/>
      <sheetName val="Cedula_L_(I-4´12)19"/>
      <sheetName val="Mov__Patrimo_19"/>
      <sheetName val="Dados_BLP19"/>
      <sheetName val="RETAIL_19"/>
      <sheetName val="Dozavos_IAE19"/>
      <sheetName val="Adf_par_resp18"/>
      <sheetName val="SUIVI_EFFECTIFS18"/>
      <sheetName val="EFFECT_18"/>
      <sheetName val="Vendas_Tons18"/>
      <sheetName val="C_Estr_18"/>
      <sheetName val="Buy_Group_Assignments18"/>
      <sheetName val="Costs_by_Req'd_Part_#_12-03-027"/>
      <sheetName val="Nominales_1918"/>
      <sheetName val="UK_S18"/>
      <sheetName val="Lion_Baking_Powder_DOM18"/>
      <sheetName val="VOLUME_-_SOS18"/>
      <sheetName val="PRICE_ASSUMPTIONS_DOM18"/>
      <sheetName val="Costo_M_P_18"/>
      <sheetName val="ISLR_PNR18"/>
      <sheetName val="Axv_18"/>
      <sheetName val="FLUJO_EF_18"/>
      <sheetName val="Brand_18"/>
      <sheetName val="AM_Q3_15_90_days_Plan17"/>
      <sheetName val="April_Financial_Tracker15"/>
      <sheetName val="Paros_Por_Falta_de_Material15"/>
      <sheetName val="Product_Views17"/>
      <sheetName val="Riepilogo_linee-direz_BUD16"/>
      <sheetName val="Línea_115"/>
      <sheetName val="Forecast_Percent14"/>
      <sheetName val="Data_Setup14"/>
      <sheetName val="Service_Line_&amp;_Service_Offeri14"/>
      <sheetName val="Cost_By_Line14"/>
      <sheetName val="SOV_tot10"/>
      <sheetName val="workable_hours10"/>
      <sheetName val="financial_highlights10"/>
      <sheetName val="Forecasts"/>
      <sheetName val="Drop down list_PL31"/>
      <sheetName val="FREIGHTHANDLING "/>
      <sheetName val="DVL TRF05"/>
      <sheetName val="RPMTRF05"/>
      <sheetName val="RPMOB06"/>
      <sheetName val="_x005f_x005f_"/>
      <sheetName val="LA"/>
      <sheetName val="CAPERFORM_$24"/>
      <sheetName val="QC_-_1a24"/>
      <sheetName val="Control_199924"/>
      <sheetName val="PPV_Chart124"/>
      <sheetName val="PPV_by_BU_by_Category24"/>
      <sheetName val="depletion_sked_exLTC24"/>
      <sheetName val="CONSUMO_MAT__Y_MAT__PRIMAS24"/>
      <sheetName val="Account_Group23"/>
      <sheetName val="Country_Key23"/>
      <sheetName val="Transportation_Zone23"/>
      <sheetName val="Free_Cash_Flow_Rpt_24"/>
      <sheetName val="KF_Plants;_Calendar_weeks24"/>
      <sheetName val="File_Setting24"/>
      <sheetName val="TASA_DE_CAMBIO23"/>
      <sheetName val="Brand_Analysis_(1)23"/>
      <sheetName val="Worksheet_______(PASS_WORD_6523"/>
      <sheetName val="Anex_1723"/>
      <sheetName val="impuestos_trim23"/>
      <sheetName val="CUENTAS_POR_COBRAR_NO_COMERCI23"/>
      <sheetName val="Cedula_L_(I-4´12)23"/>
      <sheetName val="Mov__Patrimo_23"/>
      <sheetName val="Dados_BLP23"/>
      <sheetName val="RETAIL_23"/>
      <sheetName val="Dozavos_IAE23"/>
      <sheetName val="Adf_par_resp22"/>
      <sheetName val="SUIVI_EFFECTIFS22"/>
      <sheetName val="EFFECT_22"/>
      <sheetName val="Vendas_Tons22"/>
      <sheetName val="C_Estr_22"/>
      <sheetName val="Buy_Group_Assignments22"/>
      <sheetName val="Costs_by_Req'd_Part_#_12-03-031"/>
      <sheetName val="Nominales_1922"/>
      <sheetName val="UK_S22"/>
      <sheetName val="Lion_Baking_Powder_DOM22"/>
      <sheetName val="VOLUME_-_SOS22"/>
      <sheetName val="PRICE_ASSUMPTIONS_DOM22"/>
      <sheetName val="Costo_M_P_22"/>
      <sheetName val="ISLR_PNR22"/>
      <sheetName val="Axv_22"/>
      <sheetName val="FLUJO_EF_22"/>
      <sheetName val="Brand_22"/>
      <sheetName val="AM_Q3_15_90_days_Plan21"/>
      <sheetName val="April_Financial_Tracker19"/>
      <sheetName val="Paros_Por_Falta_de_Material19"/>
      <sheetName val="Product_Views21"/>
      <sheetName val="Riepilogo_linee-direz_BUD20"/>
      <sheetName val="Línea_119"/>
      <sheetName val="Forecast_Percent18"/>
      <sheetName val="Data_Setup18"/>
      <sheetName val="Service_Line_&amp;_Service_Offeri18"/>
      <sheetName val="Cost_By_Line18"/>
      <sheetName val="SOV_tot14"/>
      <sheetName val="workable_hours14"/>
      <sheetName val="financial_highlights14"/>
      <sheetName val="CAPERFORM_$23"/>
      <sheetName val="QC_-_1a23"/>
      <sheetName val="Control_199923"/>
      <sheetName val="PPV_Chart123"/>
      <sheetName val="PPV_by_BU_by_Category23"/>
      <sheetName val="depletion_sked_exLTC23"/>
      <sheetName val="CONSUMO_MAT__Y_MAT__PRIMAS23"/>
      <sheetName val="Account_Group22"/>
      <sheetName val="Country_Key22"/>
      <sheetName val="Transportation_Zone22"/>
      <sheetName val="Free_Cash_Flow_Rpt_23"/>
      <sheetName val="KF_Plants;_Calendar_weeks23"/>
      <sheetName val="File_Setting23"/>
      <sheetName val="TASA_DE_CAMBIO22"/>
      <sheetName val="Brand_Analysis_(1)22"/>
      <sheetName val="Worksheet_______(PASS_WORD_6522"/>
      <sheetName val="Anex_1722"/>
      <sheetName val="impuestos_trim22"/>
      <sheetName val="CUENTAS_POR_COBRAR_NO_COMERCI22"/>
      <sheetName val="Cedula_L_(I-4´12)22"/>
      <sheetName val="Mov__Patrimo_22"/>
      <sheetName val="Dados_BLP22"/>
      <sheetName val="RETAIL_22"/>
      <sheetName val="Dozavos_IAE22"/>
      <sheetName val="Adf_par_resp21"/>
      <sheetName val="SUIVI_EFFECTIFS21"/>
      <sheetName val="EFFECT_21"/>
      <sheetName val="Vendas_Tons21"/>
      <sheetName val="C_Estr_21"/>
      <sheetName val="Buy_Group_Assignments21"/>
      <sheetName val="Costs_by_Req'd_Part_#_12-03-030"/>
      <sheetName val="Nominales_1921"/>
      <sheetName val="UK_S21"/>
      <sheetName val="Lion_Baking_Powder_DOM21"/>
      <sheetName val="VOLUME_-_SOS21"/>
      <sheetName val="PRICE_ASSUMPTIONS_DOM21"/>
      <sheetName val="Costo_M_P_21"/>
      <sheetName val="ISLR_PNR21"/>
      <sheetName val="Axv_21"/>
      <sheetName val="FLUJO_EF_21"/>
      <sheetName val="Brand_21"/>
      <sheetName val="AM_Q3_15_90_days_Plan20"/>
      <sheetName val="April_Financial_Tracker18"/>
      <sheetName val="Paros_Por_Falta_de_Material18"/>
      <sheetName val="Product_Views20"/>
      <sheetName val="Riepilogo_linee-direz_BUD19"/>
      <sheetName val="Línea_118"/>
      <sheetName val="Forecast_Percent17"/>
      <sheetName val="Data_Setup17"/>
      <sheetName val="Service_Line_&amp;_Service_Offeri17"/>
      <sheetName val="Cost_By_Line17"/>
      <sheetName val="SOV_tot13"/>
      <sheetName val="workable_hours13"/>
      <sheetName val="financial_highlights13"/>
      <sheetName val="CAPERFORM_$25"/>
      <sheetName val="QC_-_1a25"/>
      <sheetName val="Control_199925"/>
      <sheetName val="PPV_Chart125"/>
      <sheetName val="PPV_by_BU_by_Category25"/>
      <sheetName val="depletion_sked_exLTC25"/>
      <sheetName val="CONSUMO_MAT__Y_MAT__PRIMAS25"/>
      <sheetName val="Account_Group24"/>
      <sheetName val="Country_Key24"/>
      <sheetName val="Transportation_Zone24"/>
      <sheetName val="Free_Cash_Flow_Rpt_25"/>
      <sheetName val="KF_Plants;_Calendar_weeks25"/>
      <sheetName val="File_Setting25"/>
      <sheetName val="TASA_DE_CAMBIO24"/>
      <sheetName val="Brand_Analysis_(1)24"/>
      <sheetName val="Worksheet_______(PASS_WORD_6524"/>
      <sheetName val="Anex_1724"/>
      <sheetName val="impuestos_trim24"/>
      <sheetName val="CUENTAS_POR_COBRAR_NO_COMERCI24"/>
      <sheetName val="Cedula_L_(I-4´12)24"/>
      <sheetName val="Mov__Patrimo_24"/>
      <sheetName val="Dados_BLP24"/>
      <sheetName val="RETAIL_24"/>
      <sheetName val="Dozavos_IAE24"/>
      <sheetName val="Adf_par_resp23"/>
      <sheetName val="SUIVI_EFFECTIFS23"/>
      <sheetName val="EFFECT_23"/>
      <sheetName val="Vendas_Tons23"/>
      <sheetName val="C_Estr_23"/>
      <sheetName val="Buy_Group_Assignments23"/>
      <sheetName val="Costs_by_Req'd_Part_#_12-03-032"/>
      <sheetName val="Nominales_1923"/>
      <sheetName val="UK_S23"/>
      <sheetName val="Lion_Baking_Powder_DOM23"/>
      <sheetName val="VOLUME_-_SOS23"/>
      <sheetName val="PRICE_ASSUMPTIONS_DOM23"/>
      <sheetName val="Costo_M_P_23"/>
      <sheetName val="ISLR_PNR23"/>
      <sheetName val="Axv_23"/>
      <sheetName val="FLUJO_EF_23"/>
      <sheetName val="Brand_23"/>
      <sheetName val="AM_Q3_15_90_days_Plan22"/>
      <sheetName val="April_Financial_Tracker20"/>
      <sheetName val="Paros_Por_Falta_de_Material20"/>
      <sheetName val="Product_Views22"/>
      <sheetName val="Riepilogo_linee-direz_BUD21"/>
      <sheetName val="Línea_120"/>
      <sheetName val="Forecast_Percent19"/>
      <sheetName val="Data_Setup19"/>
      <sheetName val="Service_Line_&amp;_Service_Offeri19"/>
      <sheetName val="Cost_By_Line19"/>
      <sheetName val="SOV_tot15"/>
      <sheetName val="workable_hours15"/>
      <sheetName val="financial_highlights15"/>
      <sheetName val="CAPERFORM_$26"/>
      <sheetName val="QC_-_1a26"/>
      <sheetName val="Control_199926"/>
      <sheetName val="PPV_Chart126"/>
      <sheetName val="PPV_by_BU_by_Category26"/>
      <sheetName val="depletion_sked_exLTC26"/>
      <sheetName val="CONSUMO_MAT__Y_MAT__PRIMAS26"/>
      <sheetName val="Account_Group25"/>
      <sheetName val="Country_Key25"/>
      <sheetName val="Transportation_Zone25"/>
      <sheetName val="Free_Cash_Flow_Rpt_26"/>
      <sheetName val="KF_Plants;_Calendar_weeks26"/>
      <sheetName val="File_Setting26"/>
      <sheetName val="TASA_DE_CAMBIO25"/>
      <sheetName val="Brand_Analysis_(1)25"/>
      <sheetName val="Worksheet_______(PASS_WORD_6525"/>
      <sheetName val="Anex_1725"/>
      <sheetName val="impuestos_trim25"/>
      <sheetName val="CUENTAS_POR_COBRAR_NO_COMERCI25"/>
      <sheetName val="Cedula_L_(I-4´12)25"/>
      <sheetName val="Mov__Patrimo_25"/>
      <sheetName val="Dados_BLP25"/>
      <sheetName val="RETAIL_25"/>
      <sheetName val="Dozavos_IAE25"/>
      <sheetName val="Adf_par_resp24"/>
      <sheetName val="SUIVI_EFFECTIFS24"/>
      <sheetName val="EFFECT_24"/>
      <sheetName val="Vendas_Tons24"/>
      <sheetName val="C_Estr_24"/>
      <sheetName val="Buy_Group_Assignments24"/>
      <sheetName val="Costs_by_Req'd_Part_#_12-03-033"/>
      <sheetName val="Nominales_1924"/>
      <sheetName val="UK_S24"/>
      <sheetName val="Lion_Baking_Powder_DOM24"/>
      <sheetName val="VOLUME_-_SOS24"/>
      <sheetName val="PRICE_ASSUMPTIONS_DOM24"/>
      <sheetName val="Costo_M_P_24"/>
      <sheetName val="ISLR_PNR24"/>
      <sheetName val="Axv_24"/>
      <sheetName val="FLUJO_EF_24"/>
      <sheetName val="Brand_24"/>
      <sheetName val="AM_Q3_15_90_days_Plan23"/>
      <sheetName val="April_Financial_Tracker21"/>
      <sheetName val="Paros_Por_Falta_de_Material21"/>
      <sheetName val="Product_Views23"/>
      <sheetName val="Riepilogo_linee-direz_BUD22"/>
      <sheetName val="Línea_121"/>
      <sheetName val="Forecast_Percent20"/>
      <sheetName val="Data_Setup20"/>
      <sheetName val="Service_Line_&amp;_Service_Offeri20"/>
      <sheetName val="Cost_By_Line20"/>
      <sheetName val="SOV_tot16"/>
      <sheetName val="workable_hours16"/>
      <sheetName val="financial_highlights16"/>
      <sheetName val="CAPERFORM_$27"/>
      <sheetName val="QC_-_1a27"/>
      <sheetName val="Control_199927"/>
      <sheetName val="PPV_Chart127"/>
      <sheetName val="PPV_by_BU_by_Category27"/>
      <sheetName val="depletion_sked_exLTC27"/>
      <sheetName val="CONSUMO_MAT__Y_MAT__PRIMAS27"/>
      <sheetName val="Account_Group26"/>
      <sheetName val="Country_Key26"/>
      <sheetName val="Transportation_Zone26"/>
      <sheetName val="Free_Cash_Flow_Rpt_27"/>
      <sheetName val="KF_Plants;_Calendar_weeks27"/>
      <sheetName val="File_Setting27"/>
      <sheetName val="TASA_DE_CAMBIO26"/>
      <sheetName val="Brand_Analysis_(1)26"/>
      <sheetName val="Worksheet_______(PASS_WORD_6526"/>
      <sheetName val="Anex_1726"/>
      <sheetName val="impuestos_trim26"/>
      <sheetName val="CUENTAS_POR_COBRAR_NO_COMERCI26"/>
      <sheetName val="Cedula_L_(I-4´12)26"/>
      <sheetName val="Mov__Patrimo_26"/>
      <sheetName val="Dados_BLP26"/>
      <sheetName val="RETAIL_26"/>
      <sheetName val="Dozavos_IAE26"/>
      <sheetName val="Adf_par_resp25"/>
      <sheetName val="SUIVI_EFFECTIFS25"/>
      <sheetName val="EFFECT_25"/>
      <sheetName val="Vendas_Tons25"/>
      <sheetName val="C_Estr_25"/>
      <sheetName val="Buy_Group_Assignments25"/>
      <sheetName val="Costs_by_Req'd_Part_#_12-03-034"/>
      <sheetName val="Nominales_1925"/>
      <sheetName val="UK_S25"/>
      <sheetName val="Lion_Baking_Powder_DOM25"/>
      <sheetName val="VOLUME_-_SOS25"/>
      <sheetName val="PRICE_ASSUMPTIONS_DOM25"/>
      <sheetName val="Costo_M_P_25"/>
      <sheetName val="ISLR_PNR25"/>
      <sheetName val="Axv_25"/>
      <sheetName val="FLUJO_EF_25"/>
      <sheetName val="Brand_25"/>
      <sheetName val="AM_Q3_15_90_days_Plan24"/>
      <sheetName val="April_Financial_Tracker22"/>
      <sheetName val="Paros_Por_Falta_de_Material22"/>
      <sheetName val="Product_Views24"/>
      <sheetName val="Riepilogo_linee-direz_BUD23"/>
      <sheetName val="Línea_122"/>
      <sheetName val="Forecast_Percent21"/>
      <sheetName val="Data_Setup21"/>
      <sheetName val="Service_Line_&amp;_Service_Offeri21"/>
      <sheetName val="Cost_By_Line21"/>
      <sheetName val="SOV_tot17"/>
      <sheetName val="workable_hours17"/>
      <sheetName val="financial_highlights17"/>
      <sheetName val="Mapping"/>
      <sheetName val="vol"/>
      <sheetName val="OTR.CRED."/>
      <sheetName val="CAPERFORM_$28"/>
      <sheetName val="QC_-_1a28"/>
      <sheetName val="Control_199928"/>
      <sheetName val="PPV_Chart128"/>
      <sheetName val="PPV_by_BU_by_Category28"/>
      <sheetName val="depletion_sked_exLTC28"/>
      <sheetName val="CONSUMO_MAT__Y_MAT__PRIMAS28"/>
      <sheetName val="Account_Group27"/>
      <sheetName val="Country_Key27"/>
      <sheetName val="Transportation_Zone27"/>
      <sheetName val="Free_Cash_Flow_Rpt_28"/>
      <sheetName val="KF_Plants;_Calendar_weeks28"/>
      <sheetName val="File_Setting28"/>
      <sheetName val="TASA_DE_CAMBIO27"/>
      <sheetName val="Brand_Analysis_(1)27"/>
      <sheetName val="Worksheet_______(PASS_WORD_6527"/>
      <sheetName val="Anex_1727"/>
      <sheetName val="impuestos_trim27"/>
      <sheetName val="CUENTAS_POR_COBRAR_NO_COMERCI27"/>
      <sheetName val="Cedula_L_(I-4´12)27"/>
      <sheetName val="Mov__Patrimo_27"/>
      <sheetName val="Dados_BLP27"/>
      <sheetName val="RETAIL_27"/>
      <sheetName val="Dozavos_IAE27"/>
      <sheetName val="Adf_par_resp26"/>
      <sheetName val="SUIVI_EFFECTIFS26"/>
      <sheetName val="EFFECT_26"/>
      <sheetName val="Vendas_Tons26"/>
      <sheetName val="C_Estr_26"/>
      <sheetName val="Buy_Group_Assignments26"/>
      <sheetName val="Costs_by_Req'd_Part_#_12-03-035"/>
      <sheetName val="Nominales_1926"/>
      <sheetName val="UK_S26"/>
      <sheetName val="Lion_Baking_Powder_DOM26"/>
      <sheetName val="VOLUME_-_SOS26"/>
      <sheetName val="PRICE_ASSUMPTIONS_DOM26"/>
      <sheetName val="Costo_M_P_26"/>
      <sheetName val="ISLR_PNR26"/>
      <sheetName val="Axv_26"/>
      <sheetName val="FLUJO_EF_26"/>
      <sheetName val="Brand_26"/>
      <sheetName val="AM_Q3_15_90_days_Plan25"/>
      <sheetName val="April_Financial_Tracker23"/>
      <sheetName val="Paros_Por_Falta_de_Material23"/>
      <sheetName val="Product_Views25"/>
      <sheetName val="Riepilogo_linee-direz_BUD24"/>
      <sheetName val="Línea_123"/>
      <sheetName val="Forecast_Percent22"/>
      <sheetName val="Data_Setup22"/>
      <sheetName val="Service_Line_&amp;_Service_Offeri22"/>
      <sheetName val="Cost_By_Line22"/>
      <sheetName val="SOV_tot18"/>
      <sheetName val="workable_hours18"/>
      <sheetName val="financial_highlights18"/>
      <sheetName val="Selection"/>
      <sheetName val="SalesCatalog"/>
      <sheetName val="FREIGHTHANDLING_"/>
      <sheetName val="DVL_TRF05"/>
      <sheetName val="Drop_down_list_PL31"/>
      <sheetName val="Schedule 9 - Core Renovation"/>
      <sheetName val="BriefAño"/>
      <sheetName val="Page 3"/>
      <sheetName val="FCST95"/>
      <sheetName val="MTO REV.0"/>
      <sheetName val="Category_Choco"/>
      <sheetName val="CAPERFORM_$29"/>
      <sheetName val="Control_199929"/>
      <sheetName val="CONSUMO_MAT__Y_MAT__PRIMAS29"/>
      <sheetName val="TASA_DE_CAMBIO28"/>
      <sheetName val="Brand_Analysis_(1)28"/>
      <sheetName val="Worksheet_______(PASS_WORD_6528"/>
      <sheetName val="Anex_1728"/>
      <sheetName val="impuestos_trim28"/>
      <sheetName val="CUENTAS_POR_COBRAR_NO_COMERCI28"/>
      <sheetName val="Cedula_L_(I-4´12)28"/>
      <sheetName val="Mov__Patrimo_28"/>
      <sheetName val="Dados_BLP28"/>
      <sheetName val="RETAIL_28"/>
      <sheetName val="Dozavos_IAE28"/>
      <sheetName val="depletion_sked_exLTC29"/>
      <sheetName val="QC_-_1a29"/>
      <sheetName val="PPV_Chart129"/>
      <sheetName val="PPV_by_BU_by_Category29"/>
      <sheetName val="Free_Cash_Flow_Rpt_29"/>
      <sheetName val="Account_Group28"/>
      <sheetName val="Country_Key28"/>
      <sheetName val="Transportation_Zone28"/>
      <sheetName val="KF_Plants;_Calendar_weeks29"/>
      <sheetName val="File_Setting29"/>
      <sheetName val="Adf_par_resp27"/>
      <sheetName val="SUIVI_EFFECTIFS27"/>
      <sheetName val="EFFECT_27"/>
      <sheetName val="Vendas_Tons27"/>
      <sheetName val="C_Estr_27"/>
      <sheetName val="Buy_Group_Assignments27"/>
      <sheetName val="Costs_by_Req'd_Part_#_12-03-036"/>
      <sheetName val="Nominales_1927"/>
      <sheetName val="UK_S27"/>
      <sheetName val="Lion_Baking_Powder_DOM27"/>
      <sheetName val="VOLUME_-_SOS27"/>
      <sheetName val="PRICE_ASSUMPTIONS_DOM27"/>
      <sheetName val="Costo_M_P_27"/>
      <sheetName val="ISLR_PNR27"/>
      <sheetName val="Axv_27"/>
      <sheetName val="FLUJO_EF_27"/>
      <sheetName val="Brand_27"/>
      <sheetName val="AM_Q3_15_90_days_Plan26"/>
      <sheetName val="April_Financial_Tracker24"/>
      <sheetName val="Paros_Por_Falta_de_Material24"/>
      <sheetName val="Product_Views26"/>
      <sheetName val="Riepilogo_linee-direz_BUD25"/>
      <sheetName val="Línea_124"/>
      <sheetName val="Forecast_Percent23"/>
      <sheetName val="Data_Setup23"/>
      <sheetName val="Service_Line_&amp;_Service_Offeri23"/>
      <sheetName val="Cost_By_Line23"/>
      <sheetName val="SOV_tot19"/>
      <sheetName val="workable_hours19"/>
      <sheetName val="financial_highlights19"/>
      <sheetName val="Projeção_estoque_CDSJP"/>
      <sheetName val="Drop_down_list_PL311"/>
      <sheetName val="FREIGHTHANDLING_1"/>
      <sheetName val="DVL_TRF051"/>
      <sheetName val="OTR_CRED_"/>
      <sheetName val="Library_Procedures"/>
      <sheetName val="Schedule_9_-_Core_Renovation"/>
      <sheetName val="Page_3"/>
      <sheetName val="Settings1"/>
      <sheetName val="RefOther"/>
      <sheetName val="Reference"/>
      <sheetName val="PSD-BICUTAN"/>
      <sheetName val="DEC"/>
      <sheetName val="Table"/>
      <sheetName val="Material Mapping"/>
      <sheetName val="JFSetting"/>
      <sheetName val="FEB trans"/>
      <sheetName val="Capacity"/>
      <sheetName val="O.P2001UNDSEQUIV"/>
      <sheetName val="BriefMes"/>
      <sheetName val="Ocupación+TurnosRESUMEN"/>
      <sheetName val="Ocupación+TurnosDetalle"/>
      <sheetName val="ManodeObraRESUMEN"/>
      <sheetName val="MODxLINEA"/>
      <sheetName val="Q1"/>
      <sheetName val="Q2"/>
      <sheetName val="Q3"/>
      <sheetName val="Q4"/>
      <sheetName val="OB 06"/>
      <sheetName val="BRANDSLFL"/>
      <sheetName val="Naming convention_NEW"/>
      <sheetName val="Form"/>
      <sheetName val="Customers"/>
      <sheetName val="Codes"/>
      <sheetName val="Daily - old"/>
      <sheetName val="Atom职位和架构清单"/>
      <sheetName val="ID"/>
      <sheetName val="HagR&amp;G"/>
      <sheetName val="GFSS"/>
      <sheetName val="01-99"/>
      <sheetName val="Centres"/>
      <sheetName val="CHEESE-SQ"/>
      <sheetName val="2.Database"/>
      <sheetName val="Instructions"/>
      <sheetName val="CAR &amp; EDF"/>
      <sheetName val="Die &amp; Mold"/>
      <sheetName val="Fixed Assets"/>
      <sheetName val="Obsolete"/>
      <sheetName val="Plant Trial"/>
      <sheetName val="Start-up"/>
      <sheetName val="Coreeast CIty"/>
      <sheetName val="cn_e"/>
      <sheetName val="cn_n"/>
      <sheetName val="cn_sw"/>
      <sheetName val="Sheet137"/>
      <sheetName val="instalasi disp Mei"/>
      <sheetName val="Calculation"/>
      <sheetName val="EmpData"/>
      <sheetName val="MATERIALITAS"/>
      <sheetName val="CapEx &amp; Opr-Cost"/>
      <sheetName val="Consumables"/>
      <sheetName val="FA99B"/>
      <sheetName val="Properties"/>
      <sheetName val="SD &amp; Impl"/>
      <sheetName val="Marshal -1"/>
      <sheetName val="CAJE"/>
      <sheetName val="T-ACC-04"/>
      <sheetName val="FE-1770-I"/>
      <sheetName val="FE-1770.P1"/>
      <sheetName val="FE-1770-II"/>
      <sheetName val="Brand Budget"/>
      <sheetName val="Adm-Fin"/>
      <sheetName val="Define"/>
      <sheetName val="StdUsageRM"/>
      <sheetName val="Cases"/>
      <sheetName val="StdUsagePM"/>
      <sheetName val="SUP-CH"/>
      <sheetName val="ENG-BIC (for MSI-UCC-SUGOSEC)"/>
      <sheetName val="ENG-S"/>
      <sheetName val="GEN.S"/>
      <sheetName val="MFG-BIC for MSI-UCC-SUGOSEC"/>
      <sheetName val="MFG-SUCAT"/>
      <sheetName val="MMD"/>
      <sheetName val="OOD"/>
      <sheetName val="PLANT TECH SERVICES"/>
      <sheetName val="PLANT OPR"/>
      <sheetName val="PRODUCT ASSURANCE"/>
      <sheetName val="SANITATION"/>
      <sheetName val="TPM"/>
      <sheetName val="SUP-SAL"/>
      <sheetName val="ALL"/>
      <sheetName val="Currency"/>
      <sheetName val="P&amp;L OB"/>
      <sheetName val="cn"/>
      <sheetName val="Sheet463"/>
      <sheetName val="Control Sheet"/>
      <sheetName val="What are you doing"/>
      <sheetName val="."/>
      <sheetName val="ATPREST"/>
      <sheetName val="Key Fin Hglts"/>
      <sheetName val="P"/>
      <sheetName val="Chart of accounts"/>
      <sheetName val="Department"/>
      <sheetName val="Project"/>
      <sheetName val="Horno 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3"/>
    </xxl21:alternateUrls>
    <sheetNames>
      <sheetName val="Sheet1"/>
      <sheetName val="Horno 2"/>
      <sheetName val="Horno 3"/>
      <sheetName val="Horno 4"/>
      <sheetName val="Horno 1"/>
      <sheetName val="Wafer"/>
    </sheetNames>
    <sheetDataSet>
      <sheetData sheetId="0">
        <row r="2">
          <cell r="D2">
            <v>76222023470500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FE9DB-E6A6-40B9-A8DF-437ADB53769F}">
  <sheetPr>
    <tabColor rgb="FFCCCC00"/>
  </sheetPr>
  <dimension ref="A1:N104"/>
  <sheetViews>
    <sheetView showGridLines="0" tabSelected="1" topLeftCell="D1" zoomScale="102" zoomScaleNormal="102" workbookViewId="0">
      <selection activeCell="J81" sqref="J81"/>
    </sheetView>
  </sheetViews>
  <sheetFormatPr defaultColWidth="8.7109375" defaultRowHeight="15" x14ac:dyDescent="0.25"/>
  <cols>
    <col min="1" max="1" width="16.5703125" style="4" customWidth="1"/>
    <col min="2" max="2" width="27.42578125" customWidth="1"/>
    <col min="3" max="3" width="11.85546875" customWidth="1"/>
    <col min="4" max="4" width="45.42578125" customWidth="1"/>
    <col min="5" max="5" width="32.85546875" customWidth="1"/>
    <col min="6" max="6" width="15.140625" style="53" customWidth="1"/>
    <col min="7" max="7" width="16.42578125" style="4" customWidth="1"/>
    <col min="8" max="8" width="14.85546875" customWidth="1"/>
    <col min="9" max="9" width="24.140625" customWidth="1"/>
    <col min="10" max="10" width="10.42578125" customWidth="1"/>
    <col min="11" max="11" width="11.140625" customWidth="1"/>
    <col min="13" max="13" width="10.140625" customWidth="1"/>
    <col min="14" max="14" width="18.5703125" customWidth="1"/>
    <col min="19" max="19" width="19" customWidth="1"/>
  </cols>
  <sheetData>
    <row r="1" spans="1:11" ht="16.5" customHeight="1" thickBot="1" x14ac:dyDescent="0.3">
      <c r="A1" s="1" t="s">
        <v>0</v>
      </c>
      <c r="B1" s="2"/>
      <c r="C1" s="2"/>
      <c r="D1" s="3"/>
      <c r="E1" s="2"/>
      <c r="F1" s="3"/>
    </row>
    <row r="2" spans="1:11" ht="15.75" customHeight="1" thickBot="1" x14ac:dyDescent="0.3">
      <c r="A2" s="5"/>
      <c r="B2" s="6" t="s">
        <v>1</v>
      </c>
      <c r="C2" s="6" t="s">
        <v>2</v>
      </c>
      <c r="D2" s="7" t="s">
        <v>3</v>
      </c>
      <c r="E2" s="8" t="s">
        <v>4</v>
      </c>
      <c r="F2" s="3"/>
    </row>
    <row r="3" spans="1:11" x14ac:dyDescent="0.25">
      <c r="A3" s="5"/>
      <c r="B3" s="6"/>
      <c r="C3" s="9">
        <v>2</v>
      </c>
      <c r="D3" s="9" t="s">
        <v>5</v>
      </c>
      <c r="E3" s="10" t="s">
        <v>6</v>
      </c>
      <c r="F3" s="3"/>
    </row>
    <row r="4" spans="1:11" x14ac:dyDescent="0.25">
      <c r="A4" s="11"/>
      <c r="B4" s="2"/>
      <c r="C4" s="12">
        <v>2</v>
      </c>
      <c r="D4" s="12" t="s">
        <v>7</v>
      </c>
      <c r="E4" s="13" t="s">
        <v>8</v>
      </c>
      <c r="F4" s="3"/>
    </row>
    <row r="5" spans="1:11" ht="15.75" customHeight="1" thickBot="1" x14ac:dyDescent="0.3">
      <c r="A5" s="14"/>
      <c r="B5" s="15"/>
      <c r="C5" s="16">
        <v>2</v>
      </c>
      <c r="D5" s="16" t="s">
        <v>9</v>
      </c>
      <c r="E5" s="17" t="s">
        <v>10</v>
      </c>
      <c r="F5" s="3"/>
    </row>
    <row r="6" spans="1:11" ht="15.75" customHeight="1" thickBot="1" x14ac:dyDescent="0.3">
      <c r="A6" s="2"/>
      <c r="B6" s="2"/>
      <c r="C6" s="3"/>
      <c r="D6" s="3"/>
      <c r="E6" s="2"/>
      <c r="F6" s="3"/>
    </row>
    <row r="7" spans="1:11" ht="14.25" customHeight="1" x14ac:dyDescent="0.25">
      <c r="A7" s="18" t="s">
        <v>12</v>
      </c>
      <c r="B7" s="19" t="s">
        <v>13</v>
      </c>
      <c r="C7" s="20" t="s">
        <v>5</v>
      </c>
      <c r="D7" s="21" t="s">
        <v>11</v>
      </c>
      <c r="E7" s="22" t="s">
        <v>14</v>
      </c>
      <c r="F7" s="98" t="s">
        <v>90</v>
      </c>
    </row>
    <row r="8" spans="1:11" x14ac:dyDescent="0.25">
      <c r="A8" s="24" t="s">
        <v>12</v>
      </c>
      <c r="B8" s="25"/>
      <c r="C8" s="26"/>
      <c r="D8" s="27" t="s">
        <v>15</v>
      </c>
      <c r="E8" s="28" t="s">
        <v>16</v>
      </c>
      <c r="F8" s="98" t="s">
        <v>90</v>
      </c>
    </row>
    <row r="9" spans="1:11" x14ac:dyDescent="0.25">
      <c r="A9" s="24" t="s">
        <v>12</v>
      </c>
      <c r="B9" s="25"/>
      <c r="C9" s="26"/>
      <c r="D9" s="27" t="s">
        <v>17</v>
      </c>
      <c r="E9" s="28" t="s">
        <v>18</v>
      </c>
      <c r="F9" s="98" t="s">
        <v>90</v>
      </c>
    </row>
    <row r="10" spans="1:11" x14ac:dyDescent="0.25">
      <c r="A10" s="24" t="s">
        <v>12</v>
      </c>
      <c r="B10" s="25"/>
      <c r="C10" s="26"/>
      <c r="D10" s="27" t="s">
        <v>19</v>
      </c>
      <c r="E10" s="28" t="s">
        <v>20</v>
      </c>
      <c r="F10" s="98" t="s">
        <v>90</v>
      </c>
    </row>
    <row r="11" spans="1:11" x14ac:dyDescent="0.25">
      <c r="A11" s="24"/>
      <c r="B11" s="25"/>
      <c r="C11" s="26"/>
      <c r="D11" s="27" t="s">
        <v>21</v>
      </c>
      <c r="E11" s="28" t="s">
        <v>22</v>
      </c>
      <c r="F11" s="98" t="s">
        <v>90</v>
      </c>
    </row>
    <row r="12" spans="1:11" ht="15.75" customHeight="1" x14ac:dyDescent="0.25">
      <c r="A12" s="24"/>
      <c r="B12" s="25"/>
      <c r="C12" s="29"/>
      <c r="D12" s="30" t="s">
        <v>23</v>
      </c>
      <c r="E12" s="31" t="s">
        <v>24</v>
      </c>
      <c r="F12" s="98" t="s">
        <v>91</v>
      </c>
    </row>
    <row r="13" spans="1:11" ht="15.75" customHeight="1" thickBot="1" x14ac:dyDescent="0.3">
      <c r="A13" s="32" t="s">
        <v>12</v>
      </c>
      <c r="B13" s="33"/>
      <c r="C13" s="34" t="s">
        <v>7</v>
      </c>
      <c r="D13" s="35" t="s">
        <v>25</v>
      </c>
      <c r="E13" s="36" t="s">
        <v>26</v>
      </c>
      <c r="F13" s="98" t="s">
        <v>91</v>
      </c>
    </row>
    <row r="14" spans="1:11" ht="15.75" customHeight="1" thickBot="1" x14ac:dyDescent="0.3">
      <c r="A14" s="37" t="s">
        <v>12</v>
      </c>
      <c r="B14" s="38" t="s">
        <v>28</v>
      </c>
      <c r="C14" s="39" t="s">
        <v>29</v>
      </c>
      <c r="D14" s="40" t="s">
        <v>27</v>
      </c>
      <c r="E14" s="41" t="s">
        <v>30</v>
      </c>
      <c r="F14" s="42" t="s">
        <v>31</v>
      </c>
    </row>
    <row r="15" spans="1:11" ht="15.75" customHeight="1" thickBot="1" x14ac:dyDescent="0.3">
      <c r="A15" s="32" t="s">
        <v>12</v>
      </c>
      <c r="B15" s="33" t="s">
        <v>33</v>
      </c>
      <c r="C15" s="43" t="s">
        <v>29</v>
      </c>
      <c r="D15" s="44" t="s">
        <v>32</v>
      </c>
      <c r="E15" s="45" t="s">
        <v>34</v>
      </c>
      <c r="F15" s="42" t="s">
        <v>31</v>
      </c>
      <c r="J15" s="46"/>
      <c r="K15" s="47"/>
    </row>
    <row r="16" spans="1:11" x14ac:dyDescent="0.25">
      <c r="A16" s="48"/>
      <c r="B16" s="49"/>
      <c r="C16" s="49"/>
      <c r="D16" s="49"/>
      <c r="E16" s="49"/>
      <c r="F16" s="49"/>
      <c r="I16" s="50"/>
      <c r="J16" s="50"/>
    </row>
    <row r="17" spans="1:10" x14ac:dyDescent="0.25">
      <c r="A17" s="48"/>
      <c r="B17" s="49"/>
      <c r="C17" s="49"/>
      <c r="D17" s="49"/>
      <c r="E17" s="49"/>
      <c r="F17" s="49"/>
    </row>
    <row r="18" spans="1:10" x14ac:dyDescent="0.25">
      <c r="A18" s="51" t="s">
        <v>12</v>
      </c>
      <c r="B18" s="51" t="s">
        <v>35</v>
      </c>
      <c r="C18" s="52"/>
      <c r="D18" s="53"/>
      <c r="E18" s="53"/>
    </row>
    <row r="19" spans="1:10" x14ac:dyDescent="0.25">
      <c r="A19" s="53"/>
      <c r="B19" s="53"/>
      <c r="C19" s="53"/>
      <c r="D19" s="53"/>
      <c r="E19" s="53"/>
    </row>
    <row r="20" spans="1:10" x14ac:dyDescent="0.25">
      <c r="C20" s="54" t="s">
        <v>36</v>
      </c>
      <c r="D20" s="55" t="s">
        <v>37</v>
      </c>
      <c r="E20" s="56"/>
      <c r="F20" s="57"/>
    </row>
    <row r="22" spans="1:10" ht="31.5" customHeight="1" x14ac:dyDescent="0.25">
      <c r="A22" s="58" t="s">
        <v>38</v>
      </c>
      <c r="B22" s="58" t="s">
        <v>39</v>
      </c>
      <c r="C22" s="58" t="s">
        <v>3</v>
      </c>
      <c r="D22" s="58" t="s">
        <v>40</v>
      </c>
      <c r="E22" s="58" t="s">
        <v>41</v>
      </c>
      <c r="F22" s="59" t="s">
        <v>42</v>
      </c>
      <c r="G22" s="60" t="s">
        <v>43</v>
      </c>
      <c r="H22" s="60" t="s">
        <v>44</v>
      </c>
      <c r="I22" s="99" t="s">
        <v>92</v>
      </c>
    </row>
    <row r="23" spans="1:10" x14ac:dyDescent="0.25">
      <c r="A23" s="4" t="s">
        <v>45</v>
      </c>
      <c r="B23" s="61" t="str">
        <f>+C23</f>
        <v>MULTIPACK</v>
      </c>
      <c r="C23" s="62" t="s">
        <v>46</v>
      </c>
      <c r="D23" s="63" t="s">
        <v>6</v>
      </c>
      <c r="E23" s="64" t="s">
        <v>47</v>
      </c>
      <c r="F23" s="65">
        <v>5103.5331688774604</v>
      </c>
      <c r="G23" s="66">
        <f>+'[1]Rates AC'!G27</f>
        <v>5107.52159085122</v>
      </c>
      <c r="H23" s="67">
        <f>+G23-F23</f>
        <v>3.988421973759614</v>
      </c>
      <c r="I23" s="100">
        <f>1/(G23/8)</f>
        <v>1.566317412016406E-3</v>
      </c>
    </row>
    <row r="24" spans="1:10" x14ac:dyDescent="0.25">
      <c r="E24" s="4"/>
      <c r="F24" s="53">
        <f>+F23*3</f>
        <v>15310.599506632381</v>
      </c>
    </row>
    <row r="25" spans="1:10" x14ac:dyDescent="0.25">
      <c r="C25" s="54" t="s">
        <v>48</v>
      </c>
      <c r="D25" s="55" t="s">
        <v>49</v>
      </c>
      <c r="E25" s="68"/>
      <c r="F25" s="57"/>
    </row>
    <row r="26" spans="1:10" x14ac:dyDescent="0.25">
      <c r="E26" s="4"/>
    </row>
    <row r="27" spans="1:10" ht="31.5" customHeight="1" x14ac:dyDescent="0.25">
      <c r="A27" s="58" t="s">
        <v>38</v>
      </c>
      <c r="B27" s="58" t="s">
        <v>39</v>
      </c>
      <c r="C27" s="58" t="s">
        <v>3</v>
      </c>
      <c r="D27" s="58" t="s">
        <v>40</v>
      </c>
      <c r="E27" s="58" t="s">
        <v>41</v>
      </c>
      <c r="F27" s="59" t="s">
        <v>42</v>
      </c>
      <c r="G27" s="60" t="s">
        <v>43</v>
      </c>
      <c r="H27" s="60" t="s">
        <v>44</v>
      </c>
      <c r="I27" s="99" t="s">
        <v>92</v>
      </c>
      <c r="J27" s="99" t="s">
        <v>93</v>
      </c>
    </row>
    <row r="28" spans="1:10" x14ac:dyDescent="0.25">
      <c r="A28" s="4" t="s">
        <v>45</v>
      </c>
      <c r="B28" s="61" t="str">
        <f>+C28</f>
        <v>MULTIPACK</v>
      </c>
      <c r="C28" s="62" t="s">
        <v>46</v>
      </c>
      <c r="D28" s="63" t="s">
        <v>6</v>
      </c>
      <c r="E28" s="64" t="s">
        <v>47</v>
      </c>
      <c r="F28" s="69">
        <v>4184.8971984795098</v>
      </c>
      <c r="G28" s="66">
        <f>+'[1]Rates AC'!H27</f>
        <v>4188.1677044980006</v>
      </c>
      <c r="H28" s="67">
        <f>+G28-F28</f>
        <v>3.2705060184907779</v>
      </c>
      <c r="I28" s="100">
        <f>1/(G28/8)</f>
        <v>1.910143185385861E-3</v>
      </c>
      <c r="J28" s="101">
        <f>F28/F29</f>
        <v>4.5555555555555518</v>
      </c>
    </row>
    <row r="29" spans="1:10" x14ac:dyDescent="0.25">
      <c r="A29" s="4" t="s">
        <v>50</v>
      </c>
      <c r="B29" s="70" t="s">
        <v>51</v>
      </c>
      <c r="C29" s="71" t="s">
        <v>51</v>
      </c>
      <c r="D29" s="72" t="s">
        <v>8</v>
      </c>
      <c r="E29" s="73" t="s">
        <v>47</v>
      </c>
      <c r="F29" s="74">
        <v>918.63597039794195</v>
      </c>
      <c r="G29" s="66">
        <f>+'[1]Rates AC'!H28</f>
        <v>919.35388635321954</v>
      </c>
      <c r="H29" s="67">
        <f>+G29-F29</f>
        <v>0.71791595527759</v>
      </c>
      <c r="I29" s="100">
        <f>1/(G29/8)</f>
        <v>8.7017634000911455E-3</v>
      </c>
      <c r="J29">
        <v>1</v>
      </c>
    </row>
    <row r="30" spans="1:10" x14ac:dyDescent="0.25">
      <c r="E30" s="4"/>
      <c r="G30" s="75">
        <f>G28/G29</f>
        <v>4.5555555555555562</v>
      </c>
    </row>
    <row r="31" spans="1:10" x14ac:dyDescent="0.25">
      <c r="E31" s="4"/>
      <c r="G31" s="4">
        <v>4.5555555555555598</v>
      </c>
    </row>
    <row r="32" spans="1:10" x14ac:dyDescent="0.25">
      <c r="E32" s="4"/>
    </row>
    <row r="33" spans="1:9" x14ac:dyDescent="0.25">
      <c r="A33" s="51" t="s">
        <v>52</v>
      </c>
      <c r="B33" s="51" t="s">
        <v>53</v>
      </c>
      <c r="C33" s="52"/>
      <c r="D33" s="53"/>
      <c r="E33" s="4"/>
    </row>
    <row r="34" spans="1:9" x14ac:dyDescent="0.25">
      <c r="A34" s="53"/>
      <c r="B34" s="53"/>
      <c r="C34" s="53"/>
      <c r="D34" s="53"/>
      <c r="E34" s="4"/>
    </row>
    <row r="35" spans="1:9" x14ac:dyDescent="0.25">
      <c r="E35" s="4"/>
    </row>
    <row r="36" spans="1:9" x14ac:dyDescent="0.25">
      <c r="C36" s="54" t="s">
        <v>36</v>
      </c>
      <c r="D36" s="55" t="s">
        <v>54</v>
      </c>
      <c r="E36" s="68"/>
      <c r="F36" s="57"/>
    </row>
    <row r="37" spans="1:9" x14ac:dyDescent="0.25">
      <c r="C37" s="76"/>
      <c r="D37" t="s">
        <v>55</v>
      </c>
      <c r="E37" s="4"/>
    </row>
    <row r="38" spans="1:9" x14ac:dyDescent="0.25">
      <c r="E38" s="4"/>
    </row>
    <row r="39" spans="1:9" ht="31.5" customHeight="1" x14ac:dyDescent="0.25">
      <c r="A39" s="58" t="s">
        <v>38</v>
      </c>
      <c r="B39" s="58" t="s">
        <v>39</v>
      </c>
      <c r="C39" s="58" t="s">
        <v>3</v>
      </c>
      <c r="D39" s="58" t="s">
        <v>40</v>
      </c>
      <c r="E39" s="58" t="s">
        <v>41</v>
      </c>
      <c r="F39" s="59" t="s">
        <v>42</v>
      </c>
      <c r="G39" s="60" t="s">
        <v>43</v>
      </c>
      <c r="H39" s="60" t="s">
        <v>44</v>
      </c>
      <c r="I39" s="99" t="s">
        <v>92</v>
      </c>
    </row>
    <row r="40" spans="1:9" x14ac:dyDescent="0.25">
      <c r="A40" s="4" t="s">
        <v>45</v>
      </c>
      <c r="B40" s="77"/>
      <c r="C40" s="62" t="s">
        <v>56</v>
      </c>
      <c r="D40" s="78" t="s">
        <v>10</v>
      </c>
      <c r="E40" s="64" t="s">
        <v>47</v>
      </c>
      <c r="F40" s="79">
        <v>6285.0713897913702</v>
      </c>
      <c r="G40" s="80">
        <f>+'[1]Rates AC'!H30</f>
        <v>5400</v>
      </c>
      <c r="H40" s="67">
        <f>+G40-F40</f>
        <v>-885.07138979137017</v>
      </c>
      <c r="I40" s="100">
        <f>1/(G40/8)</f>
        <v>1.4814814814814814E-3</v>
      </c>
    </row>
    <row r="41" spans="1:9" x14ac:dyDescent="0.25">
      <c r="E41" s="4"/>
    </row>
    <row r="42" spans="1:9" x14ac:dyDescent="0.25">
      <c r="E42" s="4"/>
    </row>
    <row r="44" spans="1:9" x14ac:dyDescent="0.25">
      <c r="A44" s="51" t="s">
        <v>52</v>
      </c>
      <c r="B44" s="51" t="s">
        <v>57</v>
      </c>
      <c r="C44" s="52"/>
      <c r="D44" s="53"/>
      <c r="E44" s="4"/>
    </row>
    <row r="45" spans="1:9" x14ac:dyDescent="0.25">
      <c r="A45" s="53"/>
      <c r="B45" s="53"/>
      <c r="C45" s="53"/>
      <c r="D45" s="53"/>
      <c r="E45" s="4"/>
    </row>
    <row r="46" spans="1:9" x14ac:dyDescent="0.25">
      <c r="E46" s="4"/>
    </row>
    <row r="47" spans="1:9" x14ac:dyDescent="0.25">
      <c r="C47" s="54" t="s">
        <v>36</v>
      </c>
      <c r="D47" s="55" t="s">
        <v>54</v>
      </c>
      <c r="E47" s="68"/>
      <c r="F47" s="57"/>
    </row>
    <row r="48" spans="1:9" x14ac:dyDescent="0.25">
      <c r="D48" t="s">
        <v>55</v>
      </c>
      <c r="E48" s="4"/>
    </row>
    <row r="49" spans="1:9" x14ac:dyDescent="0.25">
      <c r="E49" s="4"/>
    </row>
    <row r="50" spans="1:9" ht="31.5" customHeight="1" x14ac:dyDescent="0.25">
      <c r="A50" s="58" t="s">
        <v>38</v>
      </c>
      <c r="B50" s="58" t="s">
        <v>39</v>
      </c>
      <c r="C50" s="58" t="s">
        <v>3</v>
      </c>
      <c r="D50" s="58" t="s">
        <v>40</v>
      </c>
      <c r="E50" s="58" t="s">
        <v>41</v>
      </c>
      <c r="F50" s="59" t="s">
        <v>42</v>
      </c>
      <c r="G50" s="60" t="s">
        <v>43</v>
      </c>
      <c r="H50" s="102" t="s">
        <v>44</v>
      </c>
      <c r="I50" s="99" t="s">
        <v>92</v>
      </c>
    </row>
    <row r="51" spans="1:9" x14ac:dyDescent="0.25">
      <c r="A51" s="4" t="s">
        <v>45</v>
      </c>
      <c r="B51" s="77"/>
      <c r="C51" s="62" t="s">
        <v>56</v>
      </c>
      <c r="D51" s="78" t="s">
        <v>10</v>
      </c>
      <c r="E51" s="64" t="s">
        <v>47</v>
      </c>
      <c r="F51" s="79">
        <v>12762.199311112599</v>
      </c>
      <c r="G51" s="81" t="s">
        <v>58</v>
      </c>
      <c r="H51" s="103">
        <v>0</v>
      </c>
      <c r="I51" s="100">
        <f>1/(F51/8)</f>
        <v>6.2685120369763026E-4</v>
      </c>
    </row>
    <row r="56" spans="1:9" ht="18.75" customHeight="1" x14ac:dyDescent="0.3">
      <c r="A56" s="82" t="s">
        <v>59</v>
      </c>
    </row>
    <row r="57" spans="1:9" x14ac:dyDescent="0.25">
      <c r="A57" s="51" t="s">
        <v>12</v>
      </c>
      <c r="B57" s="51" t="s">
        <v>35</v>
      </c>
    </row>
    <row r="59" spans="1:9" ht="31.5" customHeight="1" x14ac:dyDescent="0.25">
      <c r="A59" s="58" t="s">
        <v>38</v>
      </c>
      <c r="B59" s="58" t="s">
        <v>39</v>
      </c>
      <c r="C59" s="58" t="s">
        <v>3</v>
      </c>
      <c r="D59" s="58" t="s">
        <v>40</v>
      </c>
      <c r="E59" s="58" t="s">
        <v>41</v>
      </c>
      <c r="F59" s="59" t="s">
        <v>42</v>
      </c>
      <c r="G59" s="104" t="s">
        <v>60</v>
      </c>
    </row>
    <row r="60" spans="1:9" x14ac:dyDescent="0.25">
      <c r="A60" s="4" t="s">
        <v>45</v>
      </c>
      <c r="B60" s="61" t="s">
        <v>46</v>
      </c>
      <c r="C60" s="62" t="s">
        <v>46</v>
      </c>
      <c r="D60" s="63" t="s">
        <v>6</v>
      </c>
      <c r="E60" s="64" t="s">
        <v>47</v>
      </c>
      <c r="F60" s="65">
        <v>5107.52159085122</v>
      </c>
      <c r="G60">
        <v>1.566317412016406E-3</v>
      </c>
    </row>
    <row r="61" spans="1:9" x14ac:dyDescent="0.25">
      <c r="E61" s="4"/>
    </row>
    <row r="62" spans="1:9" x14ac:dyDescent="0.25">
      <c r="C62" s="54" t="s">
        <v>48</v>
      </c>
      <c r="D62" s="55" t="s">
        <v>49</v>
      </c>
      <c r="E62" s="68"/>
      <c r="F62" s="57"/>
    </row>
    <row r="63" spans="1:9" x14ac:dyDescent="0.25">
      <c r="E63" s="4"/>
    </row>
    <row r="64" spans="1:9" ht="31.5" customHeight="1" x14ac:dyDescent="0.25">
      <c r="A64" s="58" t="s">
        <v>38</v>
      </c>
      <c r="B64" s="58" t="s">
        <v>39</v>
      </c>
      <c r="C64" s="58" t="s">
        <v>3</v>
      </c>
      <c r="D64" s="58" t="s">
        <v>40</v>
      </c>
      <c r="E64" s="58" t="s">
        <v>41</v>
      </c>
      <c r="F64" s="59" t="s">
        <v>42</v>
      </c>
      <c r="G64" s="104" t="s">
        <v>61</v>
      </c>
      <c r="H64" s="104" t="s">
        <v>60</v>
      </c>
    </row>
    <row r="65" spans="1:8" x14ac:dyDescent="0.25">
      <c r="A65" s="4" t="s">
        <v>45</v>
      </c>
      <c r="B65" s="61" t="s">
        <v>46</v>
      </c>
      <c r="C65" s="62" t="s">
        <v>46</v>
      </c>
      <c r="D65" s="63" t="s">
        <v>6</v>
      </c>
      <c r="E65" s="64" t="s">
        <v>47</v>
      </c>
      <c r="F65" s="69">
        <v>4188.1677044979997</v>
      </c>
      <c r="G65" s="105">
        <v>4.555555555555558</v>
      </c>
      <c r="H65" s="100">
        <f>1/(F65/8)</f>
        <v>1.9101431853858614E-3</v>
      </c>
    </row>
    <row r="66" spans="1:8" x14ac:dyDescent="0.25">
      <c r="A66" s="4" t="s">
        <v>50</v>
      </c>
      <c r="B66" s="70" t="s">
        <v>51</v>
      </c>
      <c r="C66" s="71" t="s">
        <v>51</v>
      </c>
      <c r="D66" s="72" t="s">
        <v>8</v>
      </c>
      <c r="E66" s="73" t="s">
        <v>47</v>
      </c>
      <c r="F66" s="74">
        <v>919.35388635321897</v>
      </c>
      <c r="G66" s="105">
        <v>1</v>
      </c>
      <c r="H66" s="100">
        <f>1/(F66/8)</f>
        <v>8.7017634000911507E-3</v>
      </c>
    </row>
    <row r="67" spans="1:8" x14ac:dyDescent="0.25">
      <c r="C67" t="s">
        <v>62</v>
      </c>
    </row>
    <row r="68" spans="1:8" ht="15.75" customHeight="1" thickBot="1" x14ac:dyDescent="0.3"/>
    <row r="69" spans="1:8" x14ac:dyDescent="0.25">
      <c r="A69" s="18" t="s">
        <v>12</v>
      </c>
      <c r="B69" s="19" t="s">
        <v>13</v>
      </c>
      <c r="C69" s="20" t="s">
        <v>5</v>
      </c>
      <c r="D69" s="21" t="s">
        <v>11</v>
      </c>
      <c r="E69" s="22" t="s">
        <v>14</v>
      </c>
    </row>
    <row r="70" spans="1:8" x14ac:dyDescent="0.25">
      <c r="A70" s="24" t="s">
        <v>12</v>
      </c>
      <c r="B70" s="25"/>
      <c r="C70" s="26"/>
      <c r="D70" s="27" t="s">
        <v>15</v>
      </c>
      <c r="E70" s="28" t="s">
        <v>16</v>
      </c>
    </row>
    <row r="71" spans="1:8" x14ac:dyDescent="0.25">
      <c r="A71" s="24" t="s">
        <v>12</v>
      </c>
      <c r="B71" s="25"/>
      <c r="C71" s="26"/>
      <c r="D71" s="27" t="s">
        <v>17</v>
      </c>
      <c r="E71" s="28" t="s">
        <v>18</v>
      </c>
    </row>
    <row r="72" spans="1:8" x14ac:dyDescent="0.25">
      <c r="A72" s="24" t="s">
        <v>12</v>
      </c>
      <c r="B72" s="25"/>
      <c r="C72" s="26"/>
      <c r="D72" s="27" t="s">
        <v>19</v>
      </c>
      <c r="E72" s="28" t="s">
        <v>20</v>
      </c>
    </row>
    <row r="73" spans="1:8" ht="15.75" customHeight="1" thickBot="1" x14ac:dyDescent="0.3">
      <c r="A73" s="32" t="s">
        <v>12</v>
      </c>
      <c r="B73" s="33"/>
      <c r="C73" s="34" t="s">
        <v>7</v>
      </c>
      <c r="D73" s="35" t="s">
        <v>23</v>
      </c>
      <c r="E73" s="36" t="s">
        <v>24</v>
      </c>
    </row>
    <row r="74" spans="1:8" x14ac:dyDescent="0.25">
      <c r="A74" s="48"/>
      <c r="B74" s="49"/>
      <c r="C74" s="29"/>
      <c r="D74" s="30"/>
      <c r="E74" s="29"/>
    </row>
    <row r="75" spans="1:8" x14ac:dyDescent="0.25">
      <c r="A75" s="51" t="s">
        <v>52</v>
      </c>
      <c r="B75" s="51" t="s">
        <v>53</v>
      </c>
    </row>
    <row r="77" spans="1:8" ht="31.5" customHeight="1" x14ac:dyDescent="0.25">
      <c r="A77" s="58" t="s">
        <v>38</v>
      </c>
      <c r="B77" s="58" t="s">
        <v>39</v>
      </c>
      <c r="C77" s="58" t="s">
        <v>3</v>
      </c>
      <c r="D77" s="58" t="s">
        <v>40</v>
      </c>
      <c r="E77" s="58" t="s">
        <v>41</v>
      </c>
      <c r="F77" s="59" t="s">
        <v>42</v>
      </c>
      <c r="G77" s="104" t="s">
        <v>60</v>
      </c>
    </row>
    <row r="78" spans="1:8" x14ac:dyDescent="0.25">
      <c r="A78" s="4" t="s">
        <v>45</v>
      </c>
      <c r="B78" s="77"/>
      <c r="C78" s="62" t="s">
        <v>56</v>
      </c>
      <c r="D78" s="78" t="s">
        <v>10</v>
      </c>
      <c r="E78" s="64" t="s">
        <v>47</v>
      </c>
      <c r="F78" s="80">
        <v>5400</v>
      </c>
      <c r="G78" s="100">
        <f>1/(F78/8)</f>
        <v>1.4814814814814814E-3</v>
      </c>
    </row>
    <row r="79" spans="1:8" ht="15.75" customHeight="1" thickBot="1" x14ac:dyDescent="0.3">
      <c r="G79" s="105"/>
    </row>
    <row r="80" spans="1:8" ht="15.75" customHeight="1" thickBot="1" x14ac:dyDescent="0.3">
      <c r="A80" s="83" t="s">
        <v>12</v>
      </c>
      <c r="B80" s="38" t="s">
        <v>28</v>
      </c>
      <c r="C80" s="39" t="s">
        <v>29</v>
      </c>
      <c r="D80" s="40" t="s">
        <v>27</v>
      </c>
      <c r="E80" s="41" t="s">
        <v>30</v>
      </c>
      <c r="G80" s="105"/>
    </row>
    <row r="81" spans="1:13" x14ac:dyDescent="0.25">
      <c r="G81" s="105"/>
    </row>
    <row r="82" spans="1:13" x14ac:dyDescent="0.25">
      <c r="G82" s="105"/>
    </row>
    <row r="83" spans="1:13" x14ac:dyDescent="0.25">
      <c r="A83" s="51" t="s">
        <v>52</v>
      </c>
      <c r="B83" s="51" t="s">
        <v>57</v>
      </c>
      <c r="C83" s="52"/>
      <c r="D83" s="53"/>
      <c r="E83" s="4"/>
      <c r="G83" s="105"/>
    </row>
    <row r="84" spans="1:13" x14ac:dyDescent="0.25">
      <c r="A84" s="53"/>
      <c r="B84" s="53"/>
      <c r="C84" s="53"/>
      <c r="D84" s="53"/>
      <c r="E84" s="4"/>
      <c r="G84" s="105"/>
    </row>
    <row r="85" spans="1:13" ht="31.5" customHeight="1" x14ac:dyDescent="0.25">
      <c r="A85" s="58" t="s">
        <v>38</v>
      </c>
      <c r="B85" s="58" t="s">
        <v>39</v>
      </c>
      <c r="C85" s="58" t="s">
        <v>3</v>
      </c>
      <c r="D85" s="58" t="s">
        <v>40</v>
      </c>
      <c r="E85" s="58" t="s">
        <v>41</v>
      </c>
      <c r="F85" s="59" t="s">
        <v>42</v>
      </c>
      <c r="G85" s="104" t="s">
        <v>60</v>
      </c>
    </row>
    <row r="86" spans="1:13" x14ac:dyDescent="0.25">
      <c r="A86" s="4" t="s">
        <v>45</v>
      </c>
      <c r="B86" s="77"/>
      <c r="C86" s="62" t="s">
        <v>56</v>
      </c>
      <c r="D86" s="78" t="s">
        <v>10</v>
      </c>
      <c r="E86" s="64" t="s">
        <v>47</v>
      </c>
      <c r="F86" s="79">
        <v>12762.199311112599</v>
      </c>
      <c r="G86" s="100">
        <f>1/(F86/8)</f>
        <v>6.2685120369763026E-4</v>
      </c>
    </row>
    <row r="87" spans="1:13" ht="15.75" customHeight="1" thickBot="1" x14ac:dyDescent="0.3"/>
    <row r="88" spans="1:13" ht="15.75" customHeight="1" thickBot="1" x14ac:dyDescent="0.3">
      <c r="A88" s="83" t="s">
        <v>12</v>
      </c>
      <c r="B88" s="38" t="s">
        <v>33</v>
      </c>
      <c r="C88" s="39" t="s">
        <v>29</v>
      </c>
      <c r="D88" s="40" t="s">
        <v>32</v>
      </c>
      <c r="E88" s="41" t="s">
        <v>34</v>
      </c>
    </row>
    <row r="91" spans="1:13" x14ac:dyDescent="0.25">
      <c r="A91" s="4" t="s">
        <v>63</v>
      </c>
    </row>
    <row r="92" spans="1:13" x14ac:dyDescent="0.25">
      <c r="A92" s="84" t="s">
        <v>64</v>
      </c>
      <c r="G92" s="85" t="s">
        <v>23</v>
      </c>
      <c r="H92" s="86" t="s">
        <v>24</v>
      </c>
      <c r="I92" s="87" t="s">
        <v>65</v>
      </c>
      <c r="J92" s="87" t="s">
        <v>66</v>
      </c>
      <c r="K92" s="88">
        <v>3.33</v>
      </c>
    </row>
    <row r="93" spans="1:13" x14ac:dyDescent="0.25">
      <c r="A93" s="89" t="s">
        <v>67</v>
      </c>
      <c r="G93" s="85" t="s">
        <v>25</v>
      </c>
      <c r="H93" s="86" t="s">
        <v>26</v>
      </c>
      <c r="I93" s="87" t="s">
        <v>65</v>
      </c>
      <c r="J93" s="87" t="s">
        <v>66</v>
      </c>
      <c r="K93" s="88">
        <v>3.33</v>
      </c>
    </row>
    <row r="94" spans="1:13" x14ac:dyDescent="0.25">
      <c r="A94" s="89" t="s">
        <v>68</v>
      </c>
    </row>
    <row r="96" spans="1:13" x14ac:dyDescent="0.25">
      <c r="A96" s="90" t="s">
        <v>12</v>
      </c>
      <c r="B96" s="91" t="s">
        <v>13</v>
      </c>
      <c r="C96" s="23" t="s">
        <v>7</v>
      </c>
      <c r="D96" s="92" t="s">
        <v>23</v>
      </c>
      <c r="E96" s="23" t="s">
        <v>24</v>
      </c>
      <c r="F96" s="93" t="s">
        <v>8</v>
      </c>
      <c r="H96" s="90" t="s">
        <v>69</v>
      </c>
      <c r="I96" s="23"/>
      <c r="J96" s="23">
        <v>25</v>
      </c>
      <c r="K96" t="s">
        <v>70</v>
      </c>
      <c r="M96" t="s">
        <v>71</v>
      </c>
    </row>
    <row r="97" spans="1:14" x14ac:dyDescent="0.25">
      <c r="A97" s="90" t="s">
        <v>12</v>
      </c>
      <c r="B97" s="91" t="s">
        <v>13</v>
      </c>
      <c r="C97" s="23" t="s">
        <v>7</v>
      </c>
      <c r="D97" s="94" t="s">
        <v>25</v>
      </c>
      <c r="E97" t="s">
        <v>26</v>
      </c>
      <c r="F97" s="93" t="s">
        <v>8</v>
      </c>
      <c r="H97" s="90" t="s">
        <v>72</v>
      </c>
      <c r="I97" s="23"/>
      <c r="J97" s="23">
        <v>20</v>
      </c>
      <c r="K97" t="s">
        <v>73</v>
      </c>
      <c r="M97" t="s">
        <v>74</v>
      </c>
      <c r="N97">
        <v>1</v>
      </c>
    </row>
    <row r="98" spans="1:14" x14ac:dyDescent="0.25">
      <c r="A98" s="90" t="s">
        <v>75</v>
      </c>
      <c r="B98" s="23" t="s">
        <v>76</v>
      </c>
      <c r="C98" s="23" t="s">
        <v>7</v>
      </c>
      <c r="D98" s="92" t="s">
        <v>77</v>
      </c>
      <c r="E98" s="23" t="s">
        <v>78</v>
      </c>
      <c r="F98" s="93" t="s">
        <v>79</v>
      </c>
      <c r="H98" s="90" t="s">
        <v>80</v>
      </c>
      <c r="I98" s="23"/>
      <c r="J98" s="23" t="s">
        <v>81</v>
      </c>
      <c r="K98" t="s">
        <v>82</v>
      </c>
    </row>
    <row r="100" spans="1:14" x14ac:dyDescent="0.25">
      <c r="A100" s="95" t="s">
        <v>83</v>
      </c>
    </row>
    <row r="101" spans="1:14" x14ac:dyDescent="0.25">
      <c r="A101" s="4" t="s">
        <v>84</v>
      </c>
    </row>
    <row r="103" spans="1:14" x14ac:dyDescent="0.25">
      <c r="A103" s="9" t="s">
        <v>85</v>
      </c>
      <c r="B103" s="9" t="s">
        <v>86</v>
      </c>
      <c r="C103" s="10" t="s">
        <v>87</v>
      </c>
    </row>
    <row r="104" spans="1:14" ht="15.75" thickBot="1" x14ac:dyDescent="0.3">
      <c r="A104" s="96" t="s">
        <v>85</v>
      </c>
      <c r="B104" s="96" t="s">
        <v>88</v>
      </c>
      <c r="C104" s="97" t="s">
        <v>89</v>
      </c>
    </row>
  </sheetData>
  <pageMargins left="0.7" right="0.7" top="0.75" bottom="0.75" header="0.511811023622047" footer="0.511811023622047"/>
  <pageSetup paperSize="9" orientation="portrait" horizontalDpi="300" verticalDpi="300"/>
  <legacyDrawing r:id="rId1"/>
</worksheet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 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Arvind Upasani, Anup</dc:creator>
  <cp:lastModifiedBy>Arvind Upasani, Anup</cp:lastModifiedBy>
  <dcterms:created xsi:type="dcterms:W3CDTF">2026-06-15T15:28:32Z</dcterms:created>
  <dcterms:modified xsi:type="dcterms:W3CDTF">2026-06-15T15:32:06Z</dcterms:modified>
</cp:coreProperties>
</file>